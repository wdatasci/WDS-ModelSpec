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SingleCells2.xml" ContentType="application/vnd.openxmlformats-officedocument.spreadsheetml.tableSingleCell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DS\dev\lib\github\WDataSci\WDS-ModelSpec\master\WDS-DNSM\"/>
    </mc:Choice>
  </mc:AlternateContent>
  <xr:revisionPtr revIDLastSave="0" documentId="13_ncr:1_{4433C3AB-09AB-436F-AB1F-B796B491E930}" xr6:coauthVersionLast="47" xr6:coauthVersionMax="47" xr10:uidLastSave="{00000000-0000-0000-0000-000000000000}"/>
  <bookViews>
    <workbookView xWindow="-110" yWindow="-110" windowWidth="38620" windowHeight="21220" activeTab="1" xr2:uid="{BEA9149E-AA27-405B-93EC-C4A7D91493C6}"/>
  </bookViews>
  <sheets>
    <sheet name="StatesAndStages" sheetId="2" r:id="rId1"/>
    <sheet name="StocksAndFlow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81" i="2" l="1"/>
  <c r="G81" i="2"/>
  <c r="A81" i="2" a="1"/>
  <c r="V81" i="2" s="1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A32" i="2"/>
  <c r="A33" i="2" s="1"/>
  <c r="C31" i="2"/>
  <c r="A31" i="2"/>
  <c r="L16" i="2"/>
  <c r="O6" i="2"/>
  <c r="L4" i="2" s="1"/>
  <c r="N71" i="1"/>
  <c r="L71" i="1"/>
  <c r="F71" i="1"/>
  <c r="D71" i="1"/>
  <c r="A71" i="1" a="1"/>
  <c r="S71" i="1" s="1"/>
  <c r="AP66" i="1"/>
  <c r="AR66" i="1" s="1"/>
  <c r="AL66" i="1"/>
  <c r="AN66" i="1" s="1"/>
  <c r="AJ66" i="1"/>
  <c r="AH66" i="1"/>
  <c r="AD66" i="1"/>
  <c r="AF66" i="1" s="1"/>
  <c r="Z66" i="1"/>
  <c r="AB66" i="1" s="1"/>
  <c r="V66" i="1"/>
  <c r="X66" i="1" s="1"/>
  <c r="U66" i="1"/>
  <c r="K66" i="1"/>
  <c r="C66" i="1"/>
  <c r="D66" i="1" s="1"/>
  <c r="AP65" i="1"/>
  <c r="AR65" i="1" s="1"/>
  <c r="AN65" i="1"/>
  <c r="AL65" i="1"/>
  <c r="AH65" i="1"/>
  <c r="AJ65" i="1" s="1"/>
  <c r="AD65" i="1"/>
  <c r="AF65" i="1" s="1"/>
  <c r="Z65" i="1"/>
  <c r="AB65" i="1" s="1"/>
  <c r="V65" i="1"/>
  <c r="X65" i="1" s="1"/>
  <c r="U65" i="1"/>
  <c r="K65" i="1"/>
  <c r="D65" i="1"/>
  <c r="C65" i="1"/>
  <c r="AP64" i="1"/>
  <c r="AR64" i="1" s="1"/>
  <c r="AL64" i="1"/>
  <c r="AN64" i="1" s="1"/>
  <c r="AH64" i="1"/>
  <c r="AJ64" i="1" s="1"/>
  <c r="AD64" i="1"/>
  <c r="AF64" i="1" s="1"/>
  <c r="Z64" i="1"/>
  <c r="AB64" i="1" s="1"/>
  <c r="V64" i="1"/>
  <c r="X64" i="1" s="1"/>
  <c r="U64" i="1"/>
  <c r="K64" i="1"/>
  <c r="D64" i="1"/>
  <c r="C64" i="1"/>
  <c r="AP63" i="1"/>
  <c r="AR63" i="1" s="1"/>
  <c r="AL63" i="1"/>
  <c r="AN63" i="1" s="1"/>
  <c r="AH63" i="1"/>
  <c r="AJ63" i="1" s="1"/>
  <c r="AD63" i="1"/>
  <c r="AF63" i="1" s="1"/>
  <c r="Z63" i="1"/>
  <c r="AB63" i="1" s="1"/>
  <c r="V63" i="1"/>
  <c r="X63" i="1" s="1"/>
  <c r="U63" i="1"/>
  <c r="K63" i="1"/>
  <c r="AB58" i="1" s="1"/>
  <c r="D63" i="1"/>
  <c r="C63" i="1"/>
  <c r="AP62" i="1"/>
  <c r="AR62" i="1" s="1"/>
  <c r="AL62" i="1"/>
  <c r="AN62" i="1" s="1"/>
  <c r="AH62" i="1"/>
  <c r="AJ62" i="1" s="1"/>
  <c r="AD62" i="1"/>
  <c r="AF62" i="1" s="1"/>
  <c r="Z62" i="1"/>
  <c r="AB62" i="1" s="1"/>
  <c r="V62" i="1"/>
  <c r="X62" i="1" s="1"/>
  <c r="U62" i="1"/>
  <c r="K62" i="1"/>
  <c r="C62" i="1"/>
  <c r="D62" i="1" s="1"/>
  <c r="AP61" i="1"/>
  <c r="AR61" i="1" s="1"/>
  <c r="AL61" i="1"/>
  <c r="AN61" i="1" s="1"/>
  <c r="AH61" i="1"/>
  <c r="AJ61" i="1" s="1"/>
  <c r="AD61" i="1"/>
  <c r="AF61" i="1" s="1"/>
  <c r="Z61" i="1"/>
  <c r="AB61" i="1" s="1"/>
  <c r="V61" i="1"/>
  <c r="X61" i="1" s="1"/>
  <c r="U61" i="1"/>
  <c r="C61" i="1"/>
  <c r="D61" i="1" s="1"/>
  <c r="AR60" i="1"/>
  <c r="AP60" i="1"/>
  <c r="AN60" i="1"/>
  <c r="AL60" i="1"/>
  <c r="AH60" i="1"/>
  <c r="AJ60" i="1" s="1"/>
  <c r="AF60" i="1"/>
  <c r="AD60" i="1"/>
  <c r="AB60" i="1"/>
  <c r="Z60" i="1"/>
  <c r="X60" i="1"/>
  <c r="V60" i="1"/>
  <c r="U60" i="1"/>
  <c r="D60" i="1"/>
  <c r="C60" i="1"/>
  <c r="AP59" i="1"/>
  <c r="AR59" i="1" s="1"/>
  <c r="AL59" i="1"/>
  <c r="AN59" i="1" s="1"/>
  <c r="AH59" i="1"/>
  <c r="AJ59" i="1" s="1"/>
  <c r="AD59" i="1"/>
  <c r="AF59" i="1" s="1"/>
  <c r="Z59" i="1"/>
  <c r="AB59" i="1" s="1"/>
  <c r="V59" i="1"/>
  <c r="X59" i="1" s="1"/>
  <c r="U59" i="1"/>
  <c r="C59" i="1"/>
  <c r="D59" i="1" s="1"/>
  <c r="AR58" i="1"/>
  <c r="AP58" i="1"/>
  <c r="AL58" i="1"/>
  <c r="AN58" i="1" s="1"/>
  <c r="AJ58" i="1"/>
  <c r="AH58" i="1"/>
  <c r="AF58" i="1"/>
  <c r="AD58" i="1"/>
  <c r="Z58" i="1"/>
  <c r="V58" i="1"/>
  <c r="X58" i="1" s="1"/>
  <c r="U58" i="1"/>
  <c r="D58" i="1"/>
  <c r="C58" i="1"/>
  <c r="AP57" i="1"/>
  <c r="AR57" i="1" s="1"/>
  <c r="AL57" i="1"/>
  <c r="AN57" i="1" s="1"/>
  <c r="AH57" i="1"/>
  <c r="AJ57" i="1" s="1"/>
  <c r="AD57" i="1"/>
  <c r="AF57" i="1" s="1"/>
  <c r="Z57" i="1"/>
  <c r="AB57" i="1" s="1"/>
  <c r="V57" i="1"/>
  <c r="X57" i="1" s="1"/>
  <c r="U57" i="1"/>
  <c r="C57" i="1"/>
  <c r="D57" i="1" s="1"/>
  <c r="AP56" i="1"/>
  <c r="AR56" i="1" s="1"/>
  <c r="AN56" i="1"/>
  <c r="AL56" i="1"/>
  <c r="AJ56" i="1"/>
  <c r="AH56" i="1"/>
  <c r="AF56" i="1"/>
  <c r="AD56" i="1"/>
  <c r="Z56" i="1"/>
  <c r="AB56" i="1" s="1"/>
  <c r="X56" i="1"/>
  <c r="V56" i="1"/>
  <c r="U56" i="1"/>
  <c r="D56" i="1"/>
  <c r="C56" i="1"/>
  <c r="AP55" i="1"/>
  <c r="AR55" i="1" s="1"/>
  <c r="AL55" i="1"/>
  <c r="AN55" i="1" s="1"/>
  <c r="AH55" i="1"/>
  <c r="AJ55" i="1" s="1"/>
  <c r="AD55" i="1"/>
  <c r="AF55" i="1" s="1"/>
  <c r="Z55" i="1"/>
  <c r="AB55" i="1" s="1"/>
  <c r="V55" i="1"/>
  <c r="X55" i="1" s="1"/>
  <c r="U55" i="1"/>
  <c r="C55" i="1"/>
  <c r="D55" i="1" s="1"/>
  <c r="AR54" i="1"/>
  <c r="AP54" i="1"/>
  <c r="AN54" i="1"/>
  <c r="AL54" i="1"/>
  <c r="AJ54" i="1"/>
  <c r="AH54" i="1"/>
  <c r="AD54" i="1"/>
  <c r="AF54" i="1" s="1"/>
  <c r="AB54" i="1"/>
  <c r="Z54" i="1"/>
  <c r="X54" i="1"/>
  <c r="V54" i="1"/>
  <c r="U54" i="1"/>
  <c r="C54" i="1"/>
  <c r="D54" i="1" s="1"/>
  <c r="AP53" i="1"/>
  <c r="AR53" i="1" s="1"/>
  <c r="AL53" i="1"/>
  <c r="AN53" i="1" s="1"/>
  <c r="AH53" i="1"/>
  <c r="AJ53" i="1" s="1"/>
  <c r="AD53" i="1"/>
  <c r="AF53" i="1" s="1"/>
  <c r="Z53" i="1"/>
  <c r="AB53" i="1" s="1"/>
  <c r="V53" i="1"/>
  <c r="X53" i="1" s="1"/>
  <c r="U53" i="1"/>
  <c r="C53" i="1"/>
  <c r="D53" i="1" s="1"/>
  <c r="AR52" i="1"/>
  <c r="AP52" i="1"/>
  <c r="AN52" i="1"/>
  <c r="AL52" i="1"/>
  <c r="AH52" i="1"/>
  <c r="AJ52" i="1" s="1"/>
  <c r="AF52" i="1"/>
  <c r="AD52" i="1"/>
  <c r="AB52" i="1"/>
  <c r="Z52" i="1"/>
  <c r="X52" i="1"/>
  <c r="V52" i="1"/>
  <c r="U52" i="1"/>
  <c r="C52" i="1"/>
  <c r="AP51" i="1"/>
  <c r="AR51" i="1" s="1"/>
  <c r="AL51" i="1"/>
  <c r="AN51" i="1" s="1"/>
  <c r="AH51" i="1"/>
  <c r="AJ51" i="1" s="1"/>
  <c r="AD51" i="1"/>
  <c r="AF51" i="1" s="1"/>
  <c r="Z51" i="1"/>
  <c r="AB51" i="1" s="1"/>
  <c r="V51" i="1"/>
  <c r="X51" i="1" s="1"/>
  <c r="U51" i="1"/>
  <c r="C51" i="1"/>
  <c r="D51" i="1" s="1"/>
  <c r="AR50" i="1"/>
  <c r="AP50" i="1"/>
  <c r="AL50" i="1"/>
  <c r="AN50" i="1" s="1"/>
  <c r="AJ50" i="1"/>
  <c r="AH50" i="1"/>
  <c r="AF50" i="1"/>
  <c r="AD50" i="1"/>
  <c r="AB50" i="1"/>
  <c r="Z50" i="1"/>
  <c r="V50" i="1"/>
  <c r="X50" i="1" s="1"/>
  <c r="U50" i="1"/>
  <c r="D50" i="1"/>
  <c r="C50" i="1"/>
  <c r="AP49" i="1"/>
  <c r="AR49" i="1" s="1"/>
  <c r="AL49" i="1"/>
  <c r="AN49" i="1" s="1"/>
  <c r="AH49" i="1"/>
  <c r="AJ49" i="1" s="1"/>
  <c r="AD49" i="1"/>
  <c r="AF49" i="1" s="1"/>
  <c r="Z49" i="1"/>
  <c r="AB49" i="1" s="1"/>
  <c r="V49" i="1"/>
  <c r="X49" i="1" s="1"/>
  <c r="U49" i="1"/>
  <c r="C49" i="1"/>
  <c r="D49" i="1" s="1"/>
  <c r="AP48" i="1"/>
  <c r="AR48" i="1" s="1"/>
  <c r="AN48" i="1"/>
  <c r="AL48" i="1"/>
  <c r="AJ48" i="1"/>
  <c r="AH48" i="1"/>
  <c r="AF48" i="1"/>
  <c r="AD48" i="1"/>
  <c r="Z48" i="1"/>
  <c r="AB48" i="1" s="1"/>
  <c r="X48" i="1"/>
  <c r="V48" i="1"/>
  <c r="U48" i="1"/>
  <c r="R48" i="1"/>
  <c r="C48" i="1"/>
  <c r="D48" i="1" s="1"/>
  <c r="AR47" i="1"/>
  <c r="AP47" i="1"/>
  <c r="AN47" i="1"/>
  <c r="AL47" i="1"/>
  <c r="AJ47" i="1"/>
  <c r="AH47" i="1"/>
  <c r="AD47" i="1"/>
  <c r="AF47" i="1" s="1"/>
  <c r="AB47" i="1"/>
  <c r="Z47" i="1"/>
  <c r="X47" i="1"/>
  <c r="V47" i="1"/>
  <c r="U47" i="1"/>
  <c r="R47" i="1"/>
  <c r="C47" i="1"/>
  <c r="D47" i="1" s="1"/>
  <c r="AR46" i="1"/>
  <c r="AP46" i="1"/>
  <c r="AN46" i="1"/>
  <c r="AL46" i="1"/>
  <c r="AH46" i="1"/>
  <c r="AJ46" i="1" s="1"/>
  <c r="AF46" i="1"/>
  <c r="AD46" i="1"/>
  <c r="AB46" i="1"/>
  <c r="Z46" i="1"/>
  <c r="X46" i="1"/>
  <c r="V46" i="1"/>
  <c r="U46" i="1"/>
  <c r="R46" i="1"/>
  <c r="C46" i="1"/>
  <c r="D46" i="1" s="1"/>
  <c r="AR45" i="1"/>
  <c r="AP45" i="1"/>
  <c r="AL45" i="1"/>
  <c r="AN45" i="1" s="1"/>
  <c r="AJ45" i="1"/>
  <c r="AH45" i="1"/>
  <c r="AF45" i="1"/>
  <c r="AD45" i="1"/>
  <c r="AB45" i="1"/>
  <c r="Z45" i="1"/>
  <c r="V45" i="1"/>
  <c r="X45" i="1" s="1"/>
  <c r="U45" i="1"/>
  <c r="R45" i="1"/>
  <c r="J45" i="1"/>
  <c r="J46" i="1" s="1"/>
  <c r="C45" i="1"/>
  <c r="D45" i="1" s="1"/>
  <c r="AP44" i="1"/>
  <c r="AR44" i="1" s="1"/>
  <c r="AN44" i="1"/>
  <c r="AL44" i="1"/>
  <c r="AJ44" i="1"/>
  <c r="AH44" i="1"/>
  <c r="AF44" i="1"/>
  <c r="AD44" i="1"/>
  <c r="Z44" i="1"/>
  <c r="AB44" i="1" s="1"/>
  <c r="X44" i="1"/>
  <c r="V44" i="1"/>
  <c r="U44" i="1"/>
  <c r="R44" i="1"/>
  <c r="J44" i="1"/>
  <c r="C44" i="1"/>
  <c r="D44" i="1" s="1"/>
  <c r="AR43" i="1"/>
  <c r="AP43" i="1"/>
  <c r="AN43" i="1"/>
  <c r="AL43" i="1"/>
  <c r="AJ43" i="1"/>
  <c r="AH43" i="1"/>
  <c r="AD43" i="1"/>
  <c r="AF43" i="1" s="1"/>
  <c r="AB43" i="1"/>
  <c r="Z43" i="1"/>
  <c r="X43" i="1"/>
  <c r="V43" i="1"/>
  <c r="U43" i="1"/>
  <c r="R43" i="1"/>
  <c r="J43" i="1"/>
  <c r="C43" i="1"/>
  <c r="D43" i="1" s="1"/>
  <c r="C42" i="1"/>
  <c r="D42" i="1" s="1"/>
  <c r="C41" i="1"/>
  <c r="D41" i="1" s="1"/>
  <c r="C40" i="1"/>
  <c r="D40" i="1" s="1"/>
  <c r="D39" i="1"/>
  <c r="C39" i="1"/>
  <c r="C38" i="1"/>
  <c r="D38" i="1" s="1"/>
  <c r="D37" i="1"/>
  <c r="C37" i="1"/>
  <c r="C36" i="1"/>
  <c r="D36" i="1" s="1"/>
  <c r="D35" i="1"/>
  <c r="C35" i="1"/>
  <c r="C34" i="1"/>
  <c r="D34" i="1" s="1"/>
  <c r="C33" i="1"/>
  <c r="D33" i="1" s="1"/>
  <c r="C32" i="1"/>
  <c r="D32" i="1" s="1"/>
  <c r="C31" i="1"/>
  <c r="C30" i="1"/>
  <c r="D30" i="1" s="1"/>
  <c r="AS29" i="1"/>
  <c r="AQ29" i="1"/>
  <c r="AO29" i="1"/>
  <c r="AM29" i="1"/>
  <c r="AI29" i="1"/>
  <c r="AK29" i="1" s="1"/>
  <c r="AG29" i="1"/>
  <c r="AE29" i="1"/>
  <c r="AC29" i="1"/>
  <c r="AA29" i="1"/>
  <c r="Y29" i="1"/>
  <c r="W29" i="1"/>
  <c r="V29" i="1"/>
  <c r="K29" i="1"/>
  <c r="C29" i="1"/>
  <c r="D29" i="1" s="1"/>
  <c r="AS28" i="1"/>
  <c r="AQ28" i="1"/>
  <c r="AM28" i="1"/>
  <c r="AO28" i="1" s="1"/>
  <c r="AK28" i="1"/>
  <c r="AI28" i="1"/>
  <c r="AG28" i="1"/>
  <c r="AE28" i="1"/>
  <c r="AC28" i="1"/>
  <c r="AA28" i="1"/>
  <c r="W28" i="1"/>
  <c r="Y28" i="1" s="1"/>
  <c r="V28" i="1"/>
  <c r="D28" i="1"/>
  <c r="C28" i="1"/>
  <c r="AQ27" i="1"/>
  <c r="AS27" i="1" s="1"/>
  <c r="AM27" i="1"/>
  <c r="AO27" i="1" s="1"/>
  <c r="AI27" i="1"/>
  <c r="AK27" i="1" s="1"/>
  <c r="AE27" i="1"/>
  <c r="AG27" i="1" s="1"/>
  <c r="AA27" i="1"/>
  <c r="AC27" i="1" s="1"/>
  <c r="W27" i="1"/>
  <c r="Y27" i="1" s="1"/>
  <c r="V27" i="1"/>
  <c r="K27" i="1"/>
  <c r="Y18" i="1" s="1"/>
  <c r="D27" i="1"/>
  <c r="C27" i="1"/>
  <c r="AQ26" i="1"/>
  <c r="AS26" i="1" s="1"/>
  <c r="AM26" i="1"/>
  <c r="AO26" i="1" s="1"/>
  <c r="AI26" i="1"/>
  <c r="AK26" i="1" s="1"/>
  <c r="AE26" i="1"/>
  <c r="AG26" i="1" s="1"/>
  <c r="AA26" i="1"/>
  <c r="AC26" i="1" s="1"/>
  <c r="W26" i="1"/>
  <c r="Y26" i="1" s="1"/>
  <c r="V26" i="1"/>
  <c r="K26" i="1"/>
  <c r="D31" i="1" s="1"/>
  <c r="D26" i="1"/>
  <c r="A26" i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S25" i="1"/>
  <c r="AQ25" i="1"/>
  <c r="AO25" i="1"/>
  <c r="AM25" i="1"/>
  <c r="AK25" i="1"/>
  <c r="AI25" i="1"/>
  <c r="AE25" i="1"/>
  <c r="AG25" i="1" s="1"/>
  <c r="AC25" i="1"/>
  <c r="AA25" i="1"/>
  <c r="Y25" i="1"/>
  <c r="W25" i="1"/>
  <c r="V25" i="1"/>
  <c r="K25" i="1"/>
  <c r="AQ24" i="1"/>
  <c r="AS24" i="1" s="1"/>
  <c r="AM24" i="1"/>
  <c r="AO24" i="1" s="1"/>
  <c r="AI24" i="1"/>
  <c r="AK24" i="1" s="1"/>
  <c r="AE24" i="1"/>
  <c r="AG24" i="1" s="1"/>
  <c r="AA24" i="1"/>
  <c r="AC24" i="1" s="1"/>
  <c r="W24" i="1"/>
  <c r="Y24" i="1" s="1"/>
  <c r="V24" i="1"/>
  <c r="AQ23" i="1"/>
  <c r="AS23" i="1" s="1"/>
  <c r="AM23" i="1"/>
  <c r="AO23" i="1" s="1"/>
  <c r="AI23" i="1"/>
  <c r="AK23" i="1" s="1"/>
  <c r="AE23" i="1"/>
  <c r="AG23" i="1" s="1"/>
  <c r="AA23" i="1"/>
  <c r="AC23" i="1" s="1"/>
  <c r="W23" i="1"/>
  <c r="Y23" i="1" s="1"/>
  <c r="V23" i="1"/>
  <c r="AQ22" i="1"/>
  <c r="AS22" i="1" s="1"/>
  <c r="AM22" i="1"/>
  <c r="AO22" i="1" s="1"/>
  <c r="AI22" i="1"/>
  <c r="AK22" i="1" s="1"/>
  <c r="AE22" i="1"/>
  <c r="AG22" i="1" s="1"/>
  <c r="AA22" i="1"/>
  <c r="AC22" i="1" s="1"/>
  <c r="W22" i="1"/>
  <c r="Y22" i="1" s="1"/>
  <c r="V22" i="1"/>
  <c r="AQ21" i="1"/>
  <c r="AS21" i="1" s="1"/>
  <c r="AM21" i="1"/>
  <c r="AO21" i="1" s="1"/>
  <c r="AI21" i="1"/>
  <c r="AK21" i="1" s="1"/>
  <c r="AE21" i="1"/>
  <c r="AG21" i="1" s="1"/>
  <c r="AA21" i="1"/>
  <c r="AC21" i="1" s="1"/>
  <c r="W21" i="1"/>
  <c r="Y21" i="1" s="1"/>
  <c r="V21" i="1"/>
  <c r="AS20" i="1"/>
  <c r="AQ20" i="1"/>
  <c r="AO20" i="1"/>
  <c r="AM20" i="1"/>
  <c r="AK20" i="1"/>
  <c r="AI20" i="1"/>
  <c r="AE20" i="1"/>
  <c r="AG20" i="1" s="1"/>
  <c r="AA20" i="1"/>
  <c r="Y20" i="1"/>
  <c r="W20" i="1"/>
  <c r="V20" i="1"/>
  <c r="AQ19" i="1"/>
  <c r="AS19" i="1" s="1"/>
  <c r="AM19" i="1"/>
  <c r="AO19" i="1" s="1"/>
  <c r="AI19" i="1"/>
  <c r="AK19" i="1" s="1"/>
  <c r="AE19" i="1"/>
  <c r="AG19" i="1" s="1"/>
  <c r="AA19" i="1"/>
  <c r="AC19" i="1" s="1"/>
  <c r="W19" i="1"/>
  <c r="Y19" i="1" s="1"/>
  <c r="V19" i="1"/>
  <c r="AQ18" i="1"/>
  <c r="AS18" i="1" s="1"/>
  <c r="AO18" i="1"/>
  <c r="AM18" i="1"/>
  <c r="AK18" i="1"/>
  <c r="AI18" i="1"/>
  <c r="AG18" i="1"/>
  <c r="AE18" i="1"/>
  <c r="AA18" i="1"/>
  <c r="AC18" i="1" s="1"/>
  <c r="W18" i="1"/>
  <c r="V18" i="1"/>
  <c r="AQ17" i="1"/>
  <c r="AS17" i="1" s="1"/>
  <c r="AM17" i="1"/>
  <c r="AO17" i="1" s="1"/>
  <c r="AI17" i="1"/>
  <c r="AK17" i="1" s="1"/>
  <c r="AE17" i="1"/>
  <c r="AG17" i="1" s="1"/>
  <c r="AA17" i="1"/>
  <c r="AC17" i="1" s="1"/>
  <c r="W17" i="1"/>
  <c r="Y17" i="1" s="1"/>
  <c r="V17" i="1"/>
  <c r="S17" i="1"/>
  <c r="S18" i="1" s="1"/>
  <c r="S19" i="1" s="1"/>
  <c r="S15" i="1" s="1"/>
  <c r="S21" i="1" s="1"/>
  <c r="AS16" i="1"/>
  <c r="AQ16" i="1"/>
  <c r="AM16" i="1"/>
  <c r="AO16" i="1" s="1"/>
  <c r="AK16" i="1"/>
  <c r="AI16" i="1"/>
  <c r="AG16" i="1"/>
  <c r="AE16" i="1"/>
  <c r="AC16" i="1"/>
  <c r="AA16" i="1"/>
  <c r="W16" i="1"/>
  <c r="Y16" i="1" s="1"/>
  <c r="V16" i="1"/>
  <c r="S16" i="1"/>
  <c r="AQ15" i="1"/>
  <c r="AS15" i="1" s="1"/>
  <c r="AM15" i="1"/>
  <c r="AO15" i="1" s="1"/>
  <c r="AI15" i="1"/>
  <c r="AK15" i="1" s="1"/>
  <c r="AE15" i="1"/>
  <c r="AG15" i="1" s="1"/>
  <c r="AA15" i="1"/>
  <c r="AC15" i="1" s="1"/>
  <c r="W15" i="1"/>
  <c r="Y15" i="1" s="1"/>
  <c r="V15" i="1"/>
  <c r="G15" i="1"/>
  <c r="AQ14" i="1"/>
  <c r="AS14" i="1" s="1"/>
  <c r="AM14" i="1"/>
  <c r="AO14" i="1" s="1"/>
  <c r="AI14" i="1"/>
  <c r="AK14" i="1" s="1"/>
  <c r="AE14" i="1"/>
  <c r="AG14" i="1" s="1"/>
  <c r="AA14" i="1"/>
  <c r="AC14" i="1" s="1"/>
  <c r="W14" i="1"/>
  <c r="Y14" i="1" s="1"/>
  <c r="V14" i="1"/>
  <c r="J14" i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5" i="1"/>
  <c r="B15" i="2" l="1"/>
  <c r="A34" i="2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H81" i="2"/>
  <c r="P81" i="2"/>
  <c r="A81" i="2"/>
  <c r="I81" i="2"/>
  <c r="Q81" i="2"/>
  <c r="B81" i="2"/>
  <c r="J81" i="2"/>
  <c r="R81" i="2"/>
  <c r="C81" i="2"/>
  <c r="K81" i="2"/>
  <c r="S81" i="2"/>
  <c r="D81" i="2"/>
  <c r="L81" i="2"/>
  <c r="T81" i="2"/>
  <c r="E81" i="2"/>
  <c r="M81" i="2"/>
  <c r="U81" i="2"/>
  <c r="F81" i="2"/>
  <c r="N81" i="2"/>
  <c r="J47" i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G13" i="1"/>
  <c r="E71" i="1"/>
  <c r="M71" i="1"/>
  <c r="AC20" i="1"/>
  <c r="D52" i="1"/>
  <c r="G71" i="1"/>
  <c r="O71" i="1"/>
  <c r="H71" i="1"/>
  <c r="P71" i="1"/>
  <c r="S20" i="1"/>
  <c r="A71" i="1"/>
  <c r="I71" i="1"/>
  <c r="Q71" i="1"/>
  <c r="B71" i="1"/>
  <c r="J71" i="1"/>
  <c r="R71" i="1"/>
  <c r="C71" i="1"/>
  <c r="K71" i="1"/>
  <c r="G42" i="1" l="1"/>
</calcChain>
</file>

<file path=xl/sharedStrings.xml><?xml version="1.0" encoding="utf-8"?>
<sst xmlns="http://schemas.openxmlformats.org/spreadsheetml/2006/main" count="712" uniqueCount="296">
  <si>
    <t>Stock And Flow Specification</t>
  </si>
  <si>
    <t>Name</t>
  </si>
  <si>
    <t>SMStocksAndFlows</t>
  </si>
  <si>
    <t>Units Specification</t>
  </si>
  <si>
    <t>Handle</t>
  </si>
  <si>
    <t>SF</t>
  </si>
  <si>
    <t>UnitsSpec</t>
  </si>
  <si>
    <t>Units</t>
  </si>
  <si>
    <t>Parameter List</t>
  </si>
  <si>
    <t>Position</t>
  </si>
  <si>
    <t>Mneumonic</t>
  </si>
  <si>
    <t>Shorthand</t>
  </si>
  <si>
    <t>Concept</t>
  </si>
  <si>
    <t>ActualsVariable</t>
  </si>
  <si>
    <t>Type</t>
  </si>
  <si>
    <t>ToSimInd</t>
  </si>
  <si>
    <t>SimCVStructural</t>
  </si>
  <si>
    <t>SimCVPerPeriod</t>
  </si>
  <si>
    <t>Value</t>
  </si>
  <si>
    <t>n</t>
  </si>
  <si>
    <t>MC</t>
  </si>
  <si>
    <t>StocksHandle</t>
  </si>
  <si>
    <t>string</t>
  </si>
  <si>
    <t>StockSpec</t>
  </si>
  <si>
    <t>GeneralPrefix</t>
  </si>
  <si>
    <t>U</t>
  </si>
  <si>
    <t>FlowsHandle</t>
  </si>
  <si>
    <t>FlowSpec</t>
  </si>
  <si>
    <t>OrdersHandle</t>
  </si>
  <si>
    <t>SFOrderSpec</t>
  </si>
  <si>
    <t>Stock Specification</t>
  </si>
  <si>
    <t>Stocks</t>
  </si>
  <si>
    <t>Number</t>
  </si>
  <si>
    <t>LaterUse</t>
  </si>
  <si>
    <t>Treatment</t>
  </si>
  <si>
    <t>FOutput</t>
  </si>
  <si>
    <t>MOutput</t>
  </si>
  <si>
    <t>SimCV</t>
  </si>
  <si>
    <t>NumberOfBases</t>
  </si>
  <si>
    <t>Base1Type</t>
  </si>
  <si>
    <t>Base1Variable</t>
  </si>
  <si>
    <t>Base1IndexOrCode</t>
  </si>
  <si>
    <t>Base1Weighting</t>
  </si>
  <si>
    <t>Base2Type</t>
  </si>
  <si>
    <t>Base2Variable</t>
  </si>
  <si>
    <t>Base2IndexOrCode</t>
  </si>
  <si>
    <t>Base2Weighting</t>
  </si>
  <si>
    <t>Base3Type</t>
  </si>
  <si>
    <t>Base3Variable</t>
  </si>
  <si>
    <t>Base3IndexOrCode</t>
  </si>
  <si>
    <t>Base3Weighting</t>
  </si>
  <si>
    <t>Base4Type</t>
  </si>
  <si>
    <t>Base4Variable</t>
  </si>
  <si>
    <t>Base4IndexOrCode</t>
  </si>
  <si>
    <t>Base4Weighting</t>
  </si>
  <si>
    <t>Base5Type</t>
  </si>
  <si>
    <t>Base5Variable</t>
  </si>
  <si>
    <t>Base5IndexOrCode</t>
  </si>
  <si>
    <t>Base5Weighting</t>
  </si>
  <si>
    <t>Base6Type</t>
  </si>
  <si>
    <t>Base6Variable</t>
  </si>
  <si>
    <t>Base6IndexOrCode</t>
  </si>
  <si>
    <t>Base6Weighting</t>
  </si>
  <si>
    <t>MRNumber</t>
  </si>
  <si>
    <t>BAR</t>
  </si>
  <si>
    <t>AR</t>
  </si>
  <si>
    <t>Accounts Receivable</t>
  </si>
  <si>
    <t>stARBalance</t>
  </si>
  <si>
    <t>Agg</t>
  </si>
  <si>
    <t>NA</t>
  </si>
  <si>
    <t>NC</t>
  </si>
  <si>
    <t>BFCs</t>
  </si>
  <si>
    <t>BFees</t>
  </si>
  <si>
    <t>Bcash</t>
  </si>
  <si>
    <t>Bpurch</t>
  </si>
  <si>
    <t>FRNumber</t>
  </si>
  <si>
    <t>BPB</t>
  </si>
  <si>
    <t>PB</t>
  </si>
  <si>
    <t>Principal Balance</t>
  </si>
  <si>
    <t>stPrincipalBalance</t>
  </si>
  <si>
    <t>BCash</t>
  </si>
  <si>
    <t>BCL</t>
  </si>
  <si>
    <t>CL</t>
  </si>
  <si>
    <t>Credit Limit</t>
  </si>
  <si>
    <t>stCreditLimit</t>
  </si>
  <si>
    <t>SLR</t>
  </si>
  <si>
    <t>BUR</t>
  </si>
  <si>
    <t>FCLI</t>
  </si>
  <si>
    <t>BPurch</t>
  </si>
  <si>
    <t>Purch</t>
  </si>
  <si>
    <t>Purchases Balance</t>
  </si>
  <si>
    <t>stPurch</t>
  </si>
  <si>
    <t>SumOfBases</t>
  </si>
  <si>
    <t>TDPurch</t>
  </si>
  <si>
    <t>DFPurch</t>
  </si>
  <si>
    <t>FPurch</t>
  </si>
  <si>
    <t>B</t>
  </si>
  <si>
    <t>BBT</t>
  </si>
  <si>
    <t>BT</t>
  </si>
  <si>
    <t>Balance Transfers</t>
  </si>
  <si>
    <t>stBT</t>
  </si>
  <si>
    <t>TDBT</t>
  </si>
  <si>
    <t>DFBT</t>
  </si>
  <si>
    <t>FBT</t>
  </si>
  <si>
    <t>Cash</t>
  </si>
  <si>
    <t>Cash Advances Balance</t>
  </si>
  <si>
    <t>stCash</t>
  </si>
  <si>
    <t>TDCash</t>
  </si>
  <si>
    <t>DFCash</t>
  </si>
  <si>
    <t>FCash</t>
  </si>
  <si>
    <t>Fees</t>
  </si>
  <si>
    <t>stFees</t>
  </si>
  <si>
    <t>TDFees</t>
  </si>
  <si>
    <t>DFFees</t>
  </si>
  <si>
    <t>FFees</t>
  </si>
  <si>
    <t>FCs</t>
  </si>
  <si>
    <t>FinanceCharges</t>
  </si>
  <si>
    <t>stFCs</t>
  </si>
  <si>
    <t>TDFCs</t>
  </si>
  <si>
    <t>DFFCs</t>
  </si>
  <si>
    <t>FFCs</t>
  </si>
  <si>
    <t>BARSR</t>
  </si>
  <si>
    <t>ARSR</t>
  </si>
  <si>
    <t>Simple A/R Roll</t>
  </si>
  <si>
    <t>TBF</t>
  </si>
  <si>
    <t>Orders</t>
  </si>
  <si>
    <t>BRPmts</t>
  </si>
  <si>
    <t>RPmts</t>
  </si>
  <si>
    <t>Residual Payments (should be zero, but can result from small negative balances)</t>
  </si>
  <si>
    <t>Resid</t>
  </si>
  <si>
    <t>BRTB</t>
  </si>
  <si>
    <t>RTB</t>
  </si>
  <si>
    <t>Right To Buy</t>
  </si>
  <si>
    <t>Bounder</t>
  </si>
  <si>
    <t>FCLR</t>
  </si>
  <si>
    <t>FPmts</t>
  </si>
  <si>
    <t>Ffees</t>
  </si>
  <si>
    <t>USF</t>
  </si>
  <si>
    <t>IndexOrCode</t>
  </si>
  <si>
    <t>FinanceCharges Balance simple rolls</t>
  </si>
  <si>
    <t>Fees Balance simple rolls</t>
  </si>
  <si>
    <t>FWO</t>
  </si>
  <si>
    <t>Cash Advances simple rolls</t>
  </si>
  <si>
    <t>Balance Transfer simple rolls</t>
  </si>
  <si>
    <t>Purchase Balance simple rolls</t>
  </si>
  <si>
    <t>FFCsPurch</t>
  </si>
  <si>
    <t>FFCsBT</t>
  </si>
  <si>
    <t>BalanceBasisBalanceBiasedRoll</t>
  </si>
  <si>
    <t>FFCsCash</t>
  </si>
  <si>
    <t>Flow Specification</t>
  </si>
  <si>
    <t>Flows</t>
  </si>
  <si>
    <t>PrePost</t>
  </si>
  <si>
    <t>AorS</t>
  </si>
  <si>
    <t>RollWeighting</t>
  </si>
  <si>
    <t>NumberOfFlowMatrices</t>
  </si>
  <si>
    <t>Purchases</t>
  </si>
  <si>
    <t>Pre</t>
  </si>
  <si>
    <t>A</t>
  </si>
  <si>
    <t>UnitBasisUnitRollBounded</t>
  </si>
  <si>
    <t>ftPurchases</t>
  </si>
  <si>
    <t>ftBT</t>
  </si>
  <si>
    <t>Cash Advances</t>
  </si>
  <si>
    <t>ftCash</t>
  </si>
  <si>
    <t>Pmts</t>
  </si>
  <si>
    <t>Payments</t>
  </si>
  <si>
    <t>S</t>
  </si>
  <si>
    <t>UnitBasisUnitRoll</t>
  </si>
  <si>
    <t>ftPayments</t>
  </si>
  <si>
    <t>F</t>
  </si>
  <si>
    <t>ftFees</t>
  </si>
  <si>
    <t>CLI</t>
  </si>
  <si>
    <t>Credit Limit Increase</t>
  </si>
  <si>
    <t>ftCLI</t>
  </si>
  <si>
    <t>FCsPurch</t>
  </si>
  <si>
    <t>Finance Charges Purchases</t>
  </si>
  <si>
    <t>ftFCsPurchases</t>
  </si>
  <si>
    <t>FCsBT</t>
  </si>
  <si>
    <t>Finance Charges Cash</t>
  </si>
  <si>
    <t>ftFCsBT</t>
  </si>
  <si>
    <t>FCsCash</t>
  </si>
  <si>
    <t>ftFCsCash</t>
  </si>
  <si>
    <t>Finance Charges</t>
  </si>
  <si>
    <t>Post</t>
  </si>
  <si>
    <t>ftFCs</t>
  </si>
  <si>
    <t>FEPmts</t>
  </si>
  <si>
    <t>Epmts</t>
  </si>
  <si>
    <t>Effective Payments (Less Over Payments)</t>
  </si>
  <si>
    <t>ftPaids</t>
  </si>
  <si>
    <t>FPrin</t>
  </si>
  <si>
    <t>Prin</t>
  </si>
  <si>
    <t>Principal Additions</t>
  </si>
  <si>
    <t>ftPrin</t>
  </si>
  <si>
    <t>Fpurch</t>
  </si>
  <si>
    <t>FPaidPrin</t>
  </si>
  <si>
    <t>PaidPrin</t>
  </si>
  <si>
    <t>Paid Principal</t>
  </si>
  <si>
    <t>ftPaidPrin</t>
  </si>
  <si>
    <t>FYield</t>
  </si>
  <si>
    <t>Yield</t>
  </si>
  <si>
    <t>Billed Yield</t>
  </si>
  <si>
    <t>ftYield</t>
  </si>
  <si>
    <t>FCollFees</t>
  </si>
  <si>
    <t>CollFees</t>
  </si>
  <si>
    <t>Collected Fees</t>
  </si>
  <si>
    <t>ftFeesPaid</t>
  </si>
  <si>
    <t>FCollYield</t>
  </si>
  <si>
    <t>CollYield</t>
  </si>
  <si>
    <t>Collected yield</t>
  </si>
  <si>
    <t>ftYieldPaid</t>
  </si>
  <si>
    <t>CLR</t>
  </si>
  <si>
    <t>Credit Limit Ratio</t>
  </si>
  <si>
    <t>FAPmts</t>
  </si>
  <si>
    <t>Apmts</t>
  </si>
  <si>
    <t>Actual Payments (effective payments less yield write offs)</t>
  </si>
  <si>
    <t>WO</t>
  </si>
  <si>
    <t>Write off of yield</t>
  </si>
  <si>
    <t>Bfees</t>
  </si>
  <si>
    <t>Cash pmts</t>
  </si>
  <si>
    <t>D</t>
  </si>
  <si>
    <t>WaterFallPaydown</t>
  </si>
  <si>
    <t>Fcash</t>
  </si>
  <si>
    <t>BT pmts</t>
  </si>
  <si>
    <t>Purchases pmts</t>
  </si>
  <si>
    <t>Fees pmts</t>
  </si>
  <si>
    <t>FinanceCharges pmts</t>
  </si>
  <si>
    <t>Freeze Row</t>
  </si>
  <si>
    <t>Stage and State Specification</t>
  </si>
  <si>
    <t>SMStateSpace</t>
  </si>
  <si>
    <t>Stage Spec</t>
  </si>
  <si>
    <t>SS</t>
  </si>
  <si>
    <t>StageSpec</t>
  </si>
  <si>
    <t>Stages</t>
  </si>
  <si>
    <t>StagesHandle</t>
  </si>
  <si>
    <t>Sg1</t>
  </si>
  <si>
    <t>Initial</t>
  </si>
  <si>
    <t>StatesHandle</t>
  </si>
  <si>
    <t>StateSpec</t>
  </si>
  <si>
    <t>Sg</t>
  </si>
  <si>
    <t>BridgesHandle</t>
  </si>
  <si>
    <t>BridgeSpec</t>
  </si>
  <si>
    <t>State Spec</t>
  </si>
  <si>
    <t>Bridge Spec</t>
  </si>
  <si>
    <t>NumberOfBaseDimensions</t>
  </si>
  <si>
    <t>Number of dimensions to use in Flow Factor matrices</t>
  </si>
  <si>
    <t>Bridges</t>
  </si>
  <si>
    <t>NumberOfAgePages</t>
  </si>
  <si>
    <t>StatePosition</t>
  </si>
  <si>
    <t>From</t>
  </si>
  <si>
    <t>To</t>
  </si>
  <si>
    <t>Axis 1 Limit</t>
  </si>
  <si>
    <t>Axis 2 Limit</t>
  </si>
  <si>
    <t>DefaultType</t>
  </si>
  <si>
    <t>PickUp</t>
  </si>
  <si>
    <t>Axis 3 Limit</t>
  </si>
  <si>
    <t>Axis 4 Limit</t>
  </si>
  <si>
    <t>aaa</t>
  </si>
  <si>
    <t>StateVariable</t>
  </si>
  <si>
    <t>atState</t>
  </si>
  <si>
    <t>States</t>
  </si>
  <si>
    <t>StateVariableLag1</t>
  </si>
  <si>
    <t>atStateLag1</t>
  </si>
  <si>
    <t>NullInd</t>
  </si>
  <si>
    <t>NotionalDelq</t>
  </si>
  <si>
    <t>aaaNULL</t>
  </si>
  <si>
    <t>Initial, or no previous month in history</t>
  </si>
  <si>
    <t>Yes</t>
  </si>
  <si>
    <t>StrictlyTransient</t>
  </si>
  <si>
    <t>abaZ</t>
  </si>
  <si>
    <t>No</t>
  </si>
  <si>
    <t>Transient</t>
  </si>
  <si>
    <t>acaI</t>
  </si>
  <si>
    <t>adaD0</t>
  </si>
  <si>
    <t>adaD1</t>
  </si>
  <si>
    <t>adaD2</t>
  </si>
  <si>
    <t>adaD3</t>
  </si>
  <si>
    <t>adaD4</t>
  </si>
  <si>
    <t>adaD5</t>
  </si>
  <si>
    <t>adaD6</t>
  </si>
  <si>
    <t>adbB0</t>
  </si>
  <si>
    <t>adbB1</t>
  </si>
  <si>
    <t>adbB2</t>
  </si>
  <si>
    <t>adbB3</t>
  </si>
  <si>
    <t>adbB4</t>
  </si>
  <si>
    <t>adbB5</t>
  </si>
  <si>
    <t>adbB6</t>
  </si>
  <si>
    <t>adcC0</t>
  </si>
  <si>
    <t>adcC1</t>
  </si>
  <si>
    <t>adcC2</t>
  </si>
  <si>
    <t>adcC3</t>
  </si>
  <si>
    <t>adcC4</t>
  </si>
  <si>
    <t>adcC5</t>
  </si>
  <si>
    <t>adcC6</t>
  </si>
  <si>
    <t>ataDC</t>
  </si>
  <si>
    <t>atxP</t>
  </si>
  <si>
    <t>axaX</t>
  </si>
  <si>
    <t>ModelHandle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</si>
</sst>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name val="Arial"/>
    </font>
    <font>
      <sz val="10"/>
      <name val="Arial"/>
      <family val="2"/>
    </font>
    <font>
      <sz val="1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</fills>
  <borders count="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/>
    <xf numFmtId="0" fontId="1" fillId="0" borderId="0" xfId="0" applyFont="1"/>
    <xf numFmtId="49" fontId="0" fillId="2" borderId="0" xfId="0" applyNumberFormat="1" applyFill="1"/>
    <xf numFmtId="49" fontId="2" fillId="0" borderId="0" xfId="0" applyNumberFormat="1" applyFont="1"/>
    <xf numFmtId="0" fontId="0" fillId="3" borderId="0" xfId="0" applyFill="1"/>
    <xf numFmtId="0" fontId="0" fillId="0" borderId="0" xfId="0"/>
    <xf numFmtId="49" fontId="1" fillId="0" borderId="0" xfId="0" applyNumberFormat="1" applyFont="1"/>
    <xf numFmtId="0" fontId="3" fillId="0" borderId="0" xfId="0" applyFont="1"/>
    <xf numFmtId="49" fontId="3" fillId="0" borderId="0" xfId="0" applyNumberFormat="1" applyFont="1"/>
    <xf numFmtId="49" fontId="3" fillId="0" borderId="1" xfId="0" applyNumberFormat="1" applyFont="1" applyBorder="1"/>
    <xf numFmtId="49" fontId="3" fillId="0" borderId="2" xfId="0" applyNumberFormat="1" applyFont="1" applyBorder="1"/>
  </cellXfs>
  <cellStyles count="1">
    <cellStyle name="Normal" xfId="0" builtinId="0"/>
  </cellStyles>
  <dxfs count="139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border diagonalUp="0" diagonalDown="0">
        <left style="thin">
          <color indexed="8"/>
        </left>
        <right/>
        <top/>
        <bottom/>
        <vertical/>
        <horizontal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fill>
        <patternFill patternType="solid">
          <fgColor indexed="64"/>
          <bgColor indexed="13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DNSMStocksAndFlows">
        <xs:complexType>
          <xs:sequence>
            <xs:element name="ParameterList">
              <xs:complexType>
                <xs:sequence>
                  <xs:element maxOccurs="unbounded" name="Parameter">
                    <xs:complexType>
                      <xs:sequence>
                        <xs:element name="Value" type="xs:string"/>
                      </xs:sequence>
                      <xs:attribute name="Name" type="xs:string" use="required"/>
                      <xs:attribute name="Type" type="xs:string" use="required"/>
                    </xs:complexType>
                  </xs:element>
                </xs:sequence>
              </xs:complexType>
            </xs:element>
            <xs:element name="Units">
              <xs:complexType>
                <xs:sequence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Unit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ActualsVariable" type="xs:string"/>
                        <xs:element name="Type" type="xs:string"/>
                        <xs:element name="ToSimInd" type="xs:int"/>
                        <xs:element name="SimCVStructural" type="xs:double"/>
                        <xs:element name="SimCVPerPeriod" type="xs:double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Stocks">
              <xs:complexType>
                <xs:sequence>
                  <xs:element name="Number" type="xs:int"/>
                  <xs:element name="MacroReturnNumber" type="xs:int"/>
                  <xs:element name="FunctionReturnNumber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Stock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ActualsVariable" type="xs:string"/>
                        <xs:element name="Type" type="xs:string"/>
                        <xs:element name="LaterUse" type="xs:string"/>
                        <xs:element name="Treatment" type="xs:string"/>
                        <xs:element name="FOutput" type="xs:int"/>
                        <xs:element name="MOutput" type="xs:int"/>
                        <xs:element name="ToSimInd" type="xs:int"/>
                        <xs:element name="SimCV" type="xs:double"/>
                        <xs:element name="NumberOfBases" type="xs:int"/>
                        <xs:element name="Base1Type" type="xs:int"/>
                        <xs:element name="Base1Variable" type="xs:string"/>
                        <xs:element name="Base1IndexOrCode" type="xs:int"/>
                        <xs:element name="Base1Weighting" type="xs:double"/>
                        <xs:element name="Base2Type" type="xs:int"/>
                        <xs:element name="Base2Variable" type="xs:string"/>
                        <xs:element name="Base2IndexOrCode" type="xs:int"/>
                        <xs:element name="Base2Weighting" type="xs:double"/>
                        <xs:element name="Base3Type" type="xs:int"/>
                        <xs:element name="Base3Variable" type="xs:string"/>
                        <xs:element name="Base3IndexOrCode" type="xs:int"/>
                        <xs:element name="Base3Weighting" type="xs:double"/>
                        <xs:element name="Base4Type" type="xs:int"/>
                        <xs:element name="Base4Variable" type="xs:string"/>
                        <xs:element name="Base4IndexOrCode" type="xs:int"/>
                        <xs:element name="Base4Weighting" type="xs:double"/>
                        <xs:element name="Base5Type" type="xs:int"/>
                        <xs:element name="Base5Variable" type="xs:string"/>
                        <xs:element name="Base5IndexOrCode" type="xs:int"/>
                        <xs:element name="Base5Weighting" type="xs:double"/>
                        <xs:element name="Base6Type" type="xs:int"/>
                        <xs:element name="Base6Variable" type="xs:string"/>
                        <xs:element name="Base6IndexOrCode" type="xs:int"/>
                        <xs:element name="Base6Weighting" type="xs:double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Flows">
              <xs:complexType>
                <xs:sequence>
                  <xs:element name="Number" type="xs:int"/>
                  <xs:element name="MacroReturnNumber" type="xs:int"/>
                  <xs:element name="FunctionReturnNumber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Flow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PrePost" type="xs:string"/>
                        <xs:element name="AorS" type="xs:string"/>
                        <xs:element name="RollWeighting" type="xs:string"/>
                        <xs:element name="ActualsVariable" type="xs:string"/>
                        <xs:element name="NumberOfFlowMatrices" type="xs:int"/>
                        <xs:element name="ToSimInd" type="xs:int"/>
                        <xs:element name="SimCV" type="xs:double"/>
                        <xs:element name="NumberOfBases" type="xs:int"/>
                        <xs:element name="Base1Type" type="xs:int"/>
                        <xs:element name="Base1Variable" type="xs:string"/>
                        <xs:element name="Base1IndexOrCode" type="xs:int"/>
                        <xs:element name="Base1Weighting" type="xs:double"/>
                        <xs:element name="Base2Type" type="xs:int"/>
                        <xs:element name="Base2Variable" type="xs:string"/>
                        <xs:element name="Base2IndexOrCode" type="xs:int"/>
                        <xs:element name="Base2Weighting" type="xs:double"/>
                        <xs:element name="Base3Type" type="xs:int"/>
                        <xs:element name="Base3Variable" type="xs:string"/>
                        <xs:element name="Base3IndexOrCode" type="xs:int"/>
                        <xs:element name="Base3Weighting" type="xs:double"/>
                        <xs:element name="Base4Type" type="xs:int"/>
                        <xs:element name="Base4Variable" type="xs:string"/>
                        <xs:element name="Base4IndexOrCode" type="xs:int"/>
                        <xs:element name="Base4Weighting" type="xs:double"/>
                        <xs:element name="Base5Type" type="xs:int"/>
                        <xs:element name="Base5Variable" type="xs:string"/>
                        <xs:element name="Base5IndexOrCode" type="xs:int"/>
                        <xs:element name="Base5Weighting" type="xs:double"/>
                        <xs:element name="Base6Type" type="xs:int"/>
                        <xs:element name="Base6Variable" type="xs:string"/>
                        <xs:element name="Base6IndexOrCode" type="xs:int"/>
                        <xs:element name="Base6Weighting" type="xs:double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Orders">
              <xs:complexType>
                <xs:sequence>
                  <xs:element maxOccurs="unbounded" name="Order">
                    <xs:complexType>
                      <xs:sequence>
                        <xs:element name="Mneumonic" type="xs:string"/>
                        <xs:element name="USF" type="xs:int"/>
                        <xs:element name="IndexOrCode" type="xs:int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</xs:sequence>
          <xs:attribute name="Name" type="xs:string" use="required"/>
          <xs:attribute name="Handle" type="xs:string" use="required"/>
        </xs:complexType>
      </xs:element>
    </xs:schema>
  </Schema>
  <Schema ID="Schema2">
    <xs:schema xmlns:xs="http://www.w3.org/2001/XMLSchema" xmlns="" attributeFormDefault="unqualified" elementFormDefault="qualified">
      <xs:element name="DNSMStateSpace">
        <xs:complexType>
          <xs:sequence>
            <xs:element name="ParameterList">
              <xs:complexType>
                <xs:sequence>
                  <xs:element maxOccurs="unbounded" name="Parameter">
                    <xs:complexType>
                      <xs:sequence>
                        <xs:element name="Value" type="xs:string"/>
                      </xs:sequence>
                      <xs:attribute name="Name" type="xs:string" use="required"/>
                      <xs:attribute name="Type" type="xs:string" use="required"/>
                    </xs:complexType>
                  </xs:element>
                </xs:sequence>
              </xs:complexType>
            </xs:element>
            <xs:element name="States">
              <xs:complexType>
                <xs:sequence>
                  <xs:element name="Number" type="xs:int"/>
                  <xs:element name="NumberOfBaseDimensions" type="xs:int"/>
                  <xs:element name="NumberOfAgePages" type="xs:int"/>
                  <xs:element name="Axis1LimitDefault" type="xs:int"/>
                  <xs:element name="Axis2LimitDefault" type="xs:int"/>
                  <xs:element name="Axis3LimitDefault" type="xs:int"/>
                  <xs:element name="Axis4LimitDefault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State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NullInd" type="xs:string"/>
                        <xs:element name="Type" type="xs:string"/>
                        <xs:element name="NotionalDelq" type="xs:int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Stages">
              <xs:complexType>
                <xs:sequence>
                  <xs:element name="Number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Stage">
                    <xs:complexType>
                      <xs:sequence>
                        <xs:element name="Mneumonic" type="xs:string"/>
                        <xs:element name="Shorthand" type="xs:string"/>
                        <xs:element name="Concept" type="xs:string"/>
                        <xs:element name="Type" type="xs:string"/>
                        <xs:element name="ModelHandle" type="xs:string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  <xs:element name="Bridges">
              <xs:complexType>
                <xs:sequence>
                  <xs:element name="Number" type="xs:int"/>
                  <xs:element name="ParameterList">
                    <xs:complexType>
                      <xs:sequence>
                        <xs:element maxOccurs="unbounded" name="Parameter">
                          <xs:complexType>
                            <xs:sequence>
                              <xs:element name="Value" type="xs:string"/>
                            </xs:sequence>
                            <xs:attribute name="Name" type="xs:string" use="required"/>
                            <xs:attribute name="Type" type="xs:string" use="required"/>
                          </xs:complexType>
                        </xs:element>
                      </xs:sequence>
                    </xs:complexType>
                  </xs:element>
                  <xs:element maxOccurs="unbounded" name="Bridge">
                    <xs:complexType>
                      <xs:sequence>
                        <xs:element name="StatePosition" type="xs:int"/>
                        <xs:element name="From" type="xs:int"/>
                        <xs:element name="To" type="xs:int"/>
                        <xs:element name="Type" type="xs:string"/>
                      </xs:sequence>
                      <xs:attribute name="Position" type="xs:int" use="required"/>
                    </xs:complexType>
                  </xs:element>
                </xs:sequence>
                <xs:attribute name="Handle" type="xs:string" use="required"/>
              </xs:complexType>
            </xs:element>
          </xs:sequence>
          <xs:attribute name="Name" type="xs:string" use="required"/>
          <xs:attribute name="Handle" type="xs:string" use="required"/>
        </xs:complexType>
      </xs:element>
    </xs:schema>
  </Schema>
  <Map ID="2" Name="DNSMStateSpace_Map" RootElement="DNSMStateSpace" SchemaID="Schema2" ShowImportExportValidationErrors="false" AutoFit="true" Append="false" PreserveSortAFLayout="true" PreserveFormat="true"/>
  <Map ID="1" Name="DNSMStocksAndFlows_Map" RootElement="DNSMStocksAndFlow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9CE019-056A-4202-8041-EB3A0EC48991}" name="List3_1" displayName="List3_1" ref="A5:C8" tableType="xml" totalsRowShown="0" headerRowDxfId="32">
  <autoFilter ref="A5:C8" xr:uid="{D69CE019-056A-4202-8041-EB3A0EC48991}"/>
  <tableColumns count="3">
    <tableColumn id="1" xr3:uid="{35FD40D1-98E3-40B0-9961-576BEE99BBA1}" uniqueName="Name" name="Name" dataDxfId="31">
      <xmlColumnPr mapId="2" xpath="/DNSMStateSpace/ParameterList/Parameter/@Name" xmlDataType="string"/>
    </tableColumn>
    <tableColumn id="2" xr3:uid="{17D9E4C8-E914-41FA-B553-9291C254BF6D}" uniqueName="Type" name="Type" dataDxfId="30">
      <xmlColumnPr mapId="2" xpath="/DNSMStateSpace/ParameterList/Parameter/@Type" xmlDataType="string"/>
    </tableColumn>
    <tableColumn id="3" xr3:uid="{B796F1F5-BE84-45A0-93CD-30C158DC1D84}" uniqueName="Value" name="Value" dataDxfId="29">
      <xmlColumnPr mapId="2" xpath="/DNSMStateSpace/ParameterList/Parameter/Value" xmlDataType="string"/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FC79B86-3465-4DA8-81CD-C98CA146C3E6}" name="List12" displayName="List12" ref="A23:C26" tableType="xml" totalsRowShown="0" headerRowCellStyle="Normal" dataCellStyle="Normal">
  <autoFilter ref="A23:C26" xr:uid="{1FC79B86-3465-4DA8-81CD-C98CA146C3E6}"/>
  <tableColumns count="3">
    <tableColumn id="1" xr3:uid="{10508493-6650-44B0-A92D-58293D1D45B1}" uniqueName="Name" name="Name" dataCellStyle="Normal">
      <xmlColumnPr mapId="2" xpath="/DNSMStateSpace/States/ParameterList/Parameter/@Name" xmlDataType="string"/>
    </tableColumn>
    <tableColumn id="2" xr3:uid="{6CD4240D-DA8A-4EC5-9180-96B40EF0FAC9}" uniqueName="Type" name="Type" dataCellStyle="Normal">
      <xmlColumnPr mapId="2" xpath="/DNSMStateSpace/States/ParameterList/Parameter/@Type" xmlDataType="string"/>
    </tableColumn>
    <tableColumn id="3" xr3:uid="{92F4DC2F-8F97-4022-B8CE-04D001D364DE}" uniqueName="Value" name="Value" dataCellStyle="Normal">
      <xmlColumnPr mapId="2" xpath="/DNSMStateSpace/States/ParameterList/Parameter/Value" xmlDataType="string"/>
    </tableColumn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D9797A2-6198-4CEA-B442-7FE3836FD37D}" name="List13" displayName="List13" ref="A30:G57" tableType="xml" totalsRowShown="0" headerRowDxfId="28">
  <autoFilter ref="A30:G57" xr:uid="{2D9797A2-6198-4CEA-B442-7FE3836FD37D}"/>
  <tableColumns count="7">
    <tableColumn id="1" xr3:uid="{77FCD147-649A-4226-B4E2-3A3B4BA59B5E}" uniqueName="Position" name="Position" dataDxfId="27">
      <calculatedColumnFormula>N(A30)+1</calculatedColumnFormula>
      <xmlColumnPr mapId="2" xpath="/DNSMStateSpace/States/State/@Position" xmlDataType="int"/>
    </tableColumn>
    <tableColumn id="2" xr3:uid="{93DCACCB-2ABE-4C70-87F0-12876B83D872}" uniqueName="Mneumonic" name="Mneumonic" dataDxfId="26">
      <xmlColumnPr mapId="2" xpath="/DNSMStateSpace/States/State/Mneumonic" xmlDataType="string"/>
    </tableColumn>
    <tableColumn id="3" xr3:uid="{D8CD2E83-48F2-47FF-8523-835885DAF803}" uniqueName="Shorthand" name="Shorthand" dataDxfId="25">
      <calculatedColumnFormula>MID(B31,4,40)</calculatedColumnFormula>
      <xmlColumnPr mapId="2" xpath="/DNSMStateSpace/States/State/Shorthand" xmlDataType="string"/>
    </tableColumn>
    <tableColumn id="4" xr3:uid="{44F7E082-2FF9-4189-AA58-68F71F40FF2B}" uniqueName="Concept" name="Concept" dataDxfId="24">
      <xmlColumnPr mapId="2" xpath="/DNSMStateSpace/States/State/Concept" xmlDataType="string"/>
    </tableColumn>
    <tableColumn id="5" xr3:uid="{DFE00DC7-2E74-4911-AB6A-D7F53A89C665}" uniqueName="NullInd" name="NullInd" dataDxfId="23">
      <xmlColumnPr mapId="2" xpath="/DNSMStateSpace/States/State/NullInd" xmlDataType="string"/>
    </tableColumn>
    <tableColumn id="6" xr3:uid="{F57A2238-8E54-4A5A-82D9-2000E2EA999B}" uniqueName="Type" name="Type" dataDxfId="22">
      <xmlColumnPr mapId="2" xpath="/DNSMStateSpace/States/State/Type" xmlDataType="string"/>
    </tableColumn>
    <tableColumn id="7" xr3:uid="{52ECA73F-2CE5-4BEF-A3F3-916FAC4575F2}" uniqueName="NotionalDelq" name="NotionalDelq" dataDxfId="21">
      <xmlColumnPr mapId="2" xpath="/DNSMStateSpace/States/State/NotionalDelq" xmlDataType="int"/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36222CE-6951-4F23-B190-7ED930239CAA}" name="List16" displayName="List16" ref="K6:M7" tableType="xml" totalsRowShown="0" headerRowDxfId="20">
  <autoFilter ref="K6:M7" xr:uid="{136222CE-6951-4F23-B190-7ED930239CAA}"/>
  <tableColumns count="3">
    <tableColumn id="1" xr3:uid="{C47B4DFA-B026-45C8-8540-3B18DC552684}" uniqueName="Name" name="Name" dataDxfId="19">
      <xmlColumnPr mapId="2" xpath="/DNSMStateSpace/Stages/ParameterList/Parameter/@Name" xmlDataType="string"/>
    </tableColumn>
    <tableColumn id="2" xr3:uid="{48761703-5BCF-45BF-8AAB-AA5C07863B52}" uniqueName="Type" name="Type" dataDxfId="18">
      <xmlColumnPr mapId="2" xpath="/DNSMStateSpace/Stages/ParameterList/Parameter/@Type" xmlDataType="string"/>
    </tableColumn>
    <tableColumn id="3" xr3:uid="{8C618786-57F4-4837-A51B-8ECB2741EF11}" uniqueName="Value" name="Value" dataDxfId="17">
      <xmlColumnPr mapId="2" xpath="/DNSMStateSpace/Stages/ParameterList/Parameter/Value" xmlDataType="string"/>
    </tableColumn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98227A7-634C-426F-AE15-3C44F8C62868}" name="List20_1" displayName="List20_1" ref="K18:M19" tableType="xml" totalsRowShown="0" headerRowDxfId="16">
  <autoFilter ref="K18:M19" xr:uid="{E98227A7-634C-426F-AE15-3C44F8C62868}"/>
  <tableColumns count="3">
    <tableColumn id="1" xr3:uid="{017F140F-F9AB-44DA-AE4B-E6077C7591CF}" uniqueName="Name" name="Name" dataDxfId="15">
      <xmlColumnPr mapId="2" xpath="/DNSMStateSpace/Bridges/ParameterList/Parameter/@Name" xmlDataType="string"/>
    </tableColumn>
    <tableColumn id="2" xr3:uid="{F47C9176-616A-4305-9386-15E0ED607C3F}" uniqueName="Type" name="Type" dataDxfId="14">
      <xmlColumnPr mapId="2" xpath="/DNSMStateSpace/Bridges/ParameterList/Parameter/@Type" xmlDataType="string"/>
    </tableColumn>
    <tableColumn id="3" xr3:uid="{C01D8B22-485A-47CC-8F80-61F8FBB46EFD}" uniqueName="Value" name="Value" dataDxfId="13">
      <xmlColumnPr mapId="2" xpath="/DNSMStateSpace/Bridges/ParameterList/Parameter/Value" xmlDataType="string"/>
    </tableColumn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D65826-9E83-40FA-8A82-846416845F83}" name="List17_1" displayName="List17_1" ref="O17:S18" tableType="xml" totalsRowShown="0" headerRowDxfId="12">
  <autoFilter ref="O17:S18" xr:uid="{54D65826-9E83-40FA-8A82-846416845F83}"/>
  <tableColumns count="5">
    <tableColumn id="1" xr3:uid="{474EDB33-D8FF-4B38-99D3-6E3E0AAE9636}" uniqueName="Position" name="Position" dataDxfId="11">
      <xmlColumnPr mapId="2" xpath="/DNSMStateSpace/Bridges/Bridge/@Position" xmlDataType="int"/>
    </tableColumn>
    <tableColumn id="2" xr3:uid="{0F09A5EF-BB18-4748-893A-0C47FDEEAB61}" uniqueName="StatePosition" name="StatePosition" dataDxfId="10">
      <xmlColumnPr mapId="2" xpath="/DNSMStateSpace/Bridges/Bridge/StatePosition" xmlDataType="int"/>
    </tableColumn>
    <tableColumn id="3" xr3:uid="{2C9CF330-7C70-42CC-8483-187B3B7EF8E7}" uniqueName="From" name="From" dataDxfId="9">
      <xmlColumnPr mapId="2" xpath="/DNSMStateSpace/Bridges/Bridge/From" xmlDataType="int"/>
    </tableColumn>
    <tableColumn id="4" xr3:uid="{FA52A92F-F453-4500-9E1B-5D4AAD04E039}" uniqueName="To" name="To" dataDxfId="8">
      <xmlColumnPr mapId="2" xpath="/DNSMStateSpace/Bridges/Bridge/To" xmlDataType="int"/>
    </tableColumn>
    <tableColumn id="5" xr3:uid="{56B5C1C7-BCD5-40B2-A6E0-CABF98AE2A21}" uniqueName="Type" name="Type" dataDxfId="7">
      <xmlColumnPr mapId="2" xpath="/DNSMStateSpace/Bridges/Bridge/Type" xmlDataType="string"/>
    </tableColumn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DC60EF3-FA36-4112-B428-CD856EF8E148}" name="List21" displayName="List21" ref="O5:T6" tableType="xml" totalsRowShown="0" headerRowDxfId="6">
  <autoFilter ref="O5:T6" xr:uid="{8DC60EF3-FA36-4112-B428-CD856EF8E148}"/>
  <tableColumns count="6">
    <tableColumn id="1" xr3:uid="{3C5FCB05-5039-4AB9-8B67-6382516EF65F}" uniqueName="Position" name="Position" dataDxfId="5">
      <calculatedColumnFormula>N(O5)+1</calculatedColumnFormula>
      <xmlColumnPr mapId="2" xpath="/DNSMStateSpace/Stages/Stage/@Position" xmlDataType="int"/>
    </tableColumn>
    <tableColumn id="2" xr3:uid="{0A5BE0BF-1336-4E84-AC4E-F68232B5F9E8}" uniqueName="Mneumonic" name="Mneumonic" dataDxfId="4">
      <xmlColumnPr mapId="2" xpath="/DNSMStateSpace/Stages/Stage/Mneumonic" xmlDataType="string"/>
    </tableColumn>
    <tableColumn id="3" xr3:uid="{497C8AD2-6785-408A-A273-7B4CB5420027}" uniqueName="Shorthand" name="Shorthand" dataDxfId="3">
      <xmlColumnPr mapId="2" xpath="/DNSMStateSpace/Stages/Stage/Shorthand" xmlDataType="string"/>
    </tableColumn>
    <tableColumn id="4" xr3:uid="{4DE6E5D6-33BE-4FDB-BC04-301BE1FFAE4D}" uniqueName="Concept" name="Concept" dataDxfId="2">
      <xmlColumnPr mapId="2" xpath="/DNSMStateSpace/Stages/Stage/Concept" xmlDataType="string"/>
    </tableColumn>
    <tableColumn id="5" xr3:uid="{FE107D95-0DE8-4900-AD74-5F938A9B5DC6}" uniqueName="Type" name="Type" dataDxfId="1">
      <xmlColumnPr mapId="2" xpath="/DNSMStateSpace/Stages/Stage/Type" xmlDataType="string"/>
    </tableColumn>
    <tableColumn id="6" xr3:uid="{93FBA606-A841-4F16-9271-421055E2A5D3}" uniqueName="ModelHandle" name="ModelHandle" dataDxfId="0">
      <xmlColumnPr mapId="2" xpath="/DNSMStateSpace/Stages/Stage/ModelHandle" xmlDataType="string"/>
    </tableColumn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12DCD9-D9AD-4A4F-B344-C7819CD0DEA9}" name="List3" displayName="List3" ref="A5:C8" tableType="xml" totalsRowShown="0" headerRowDxfId="138">
  <autoFilter ref="A5:C8" xr:uid="{EA12DCD9-D9AD-4A4F-B344-C7819CD0DEA9}"/>
  <tableColumns count="3">
    <tableColumn id="1" xr3:uid="{01B4C985-3D81-4C4E-BCD3-87FD5F59C9EA}" uniqueName="Name" name="Name" dataDxfId="137">
      <xmlColumnPr mapId="1" xpath="/DNSMStocksAndFlows/ParameterList/Parameter/@Name" xmlDataType="string"/>
    </tableColumn>
    <tableColumn id="2" xr3:uid="{CC48B47C-0A88-411A-9865-60268059A175}" uniqueName="Type" name="Type" dataDxfId="136">
      <xmlColumnPr mapId="1" xpath="/DNSMStocksAndFlows/ParameterList/Parameter/@Type" xmlDataType="string"/>
    </tableColumn>
    <tableColumn id="3" xr3:uid="{B5ECC114-B174-487F-91B6-60969F137806}" uniqueName="Value" name="Value" dataDxfId="135">
      <xmlColumnPr mapId="1" xpath="/DNSMStocksAndFlows/ParameterList/Parameter/Value" xmlDataType="string"/>
    </tableColumn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532E2D-2FDC-4963-89B0-11F0F59D8AE1}" name="List8" displayName="List8" ref="F17:H18" tableType="xml" totalsRowShown="0" headerRowDxfId="134">
  <autoFilter ref="F17:H18" xr:uid="{6E532E2D-2FDC-4963-89B0-11F0F59D8AE1}"/>
  <tableColumns count="3">
    <tableColumn id="1" xr3:uid="{1AC86130-7E96-48F2-9028-FDC9641E6B1A}" uniqueName="Name" name="Name" dataDxfId="133">
      <xmlColumnPr mapId="1" xpath="/DNSMStocksAndFlows/Stocks/ParameterList/Parameter/@Name" xmlDataType="string"/>
    </tableColumn>
    <tableColumn id="2" xr3:uid="{F16215F4-5D0C-48CB-8D2B-C82E8128F34C}" uniqueName="Type" name="Type" dataDxfId="132">
      <xmlColumnPr mapId="1" xpath="/DNSMStocksAndFlows/Stocks/ParameterList/Parameter/@Type" xmlDataType="string"/>
    </tableColumn>
    <tableColumn id="3" xr3:uid="{7667BBA8-C094-4790-8B89-ED9CFD0C2C42}" uniqueName="Value" name="Value" dataDxfId="131">
      <xmlColumnPr mapId="1" xpath="/DNSMStocksAndFlows/Stocks/ParameterList/Parameter/Value" xmlDataType="string"/>
    </tableColumn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A9429-8B35-4FAF-B406-88A033726184}" name="List9" displayName="List9" ref="J13:AT29" tableType="xml" totalsRowShown="0" headerRowDxfId="130">
  <autoFilter ref="J13:AT29" xr:uid="{42CA9429-8B35-4FAF-B406-88A033726184}"/>
  <tableColumns count="37">
    <tableColumn id="1" xr3:uid="{AA9C2C57-A260-4C23-AE24-1A0AAB3E77ED}" uniqueName="Position" name="Position" dataDxfId="129">
      <calculatedColumnFormula>N(J13)+1</calculatedColumnFormula>
      <xmlColumnPr mapId="1" xpath="/DNSMStocksAndFlows/Stocks/Stock/@Position" xmlDataType="int"/>
    </tableColumn>
    <tableColumn id="2" xr3:uid="{E273CA51-7757-4FA8-832D-6D0A5122D2DC}" uniqueName="Mneumonic" name="Mneumonic" dataDxfId="128">
      <calculatedColumnFormula>"TD"&amp;L14</calculatedColumnFormula>
      <xmlColumnPr mapId="1" xpath="/DNSMStocksAndFlows/Stocks/Stock/Mneumonic" xmlDataType="string"/>
    </tableColumn>
    <tableColumn id="3" xr3:uid="{231CB23E-1F50-4CCC-86A9-33EEF6AE93EF}" uniqueName="Shorthand" name="Shorthand" dataDxfId="127">
      <xmlColumnPr mapId="1" xpath="/DNSMStocksAndFlows/Stocks/Stock/Shorthand" xmlDataType="string"/>
    </tableColumn>
    <tableColumn id="4" xr3:uid="{6AE1B1B0-7F94-42BF-A3A5-73B0364976D7}" uniqueName="Concept" name="Concept" dataDxfId="126">
      <xmlColumnPr mapId="1" xpath="/DNSMStocksAndFlows/Stocks/Stock/Concept" xmlDataType="string"/>
    </tableColumn>
    <tableColumn id="5" xr3:uid="{EF9A9FDF-92ED-4293-9259-E7D60E586E04}" uniqueName="ActualsVariable" name="ActualsVariable" dataDxfId="125">
      <xmlColumnPr mapId="1" xpath="/DNSMStocksAndFlows/Stocks/Stock/ActualsVariable" xmlDataType="string"/>
    </tableColumn>
    <tableColumn id="6" xr3:uid="{6ADDDBC1-A867-4332-8AE7-F83755E65EEC}" uniqueName="Type" name="Type" dataDxfId="124">
      <xmlColumnPr mapId="1" xpath="/DNSMStocksAndFlows/Stocks/Stock/Type" xmlDataType="string"/>
    </tableColumn>
    <tableColumn id="7" xr3:uid="{7496819D-6932-49EB-90AE-9015AFE43B83}" uniqueName="LaterUse" name="LaterUse" dataDxfId="123">
      <xmlColumnPr mapId="1" xpath="/DNSMStocksAndFlows/Stocks/Stock/LaterUse" xmlDataType="string"/>
    </tableColumn>
    <tableColumn id="8" xr3:uid="{FB5CFB43-0151-4550-A924-549647ECB83E}" uniqueName="Treatment" name="Treatment" dataDxfId="122">
      <xmlColumnPr mapId="1" xpath="/DNSMStocksAndFlows/Stocks/Stock/Treatment" xmlDataType="string"/>
    </tableColumn>
    <tableColumn id="9" xr3:uid="{8B3D28B2-7DCB-4302-BAC0-0F820B04744D}" uniqueName="FOutput" name="FOutput" dataDxfId="121">
      <xmlColumnPr mapId="1" xpath="/DNSMStocksAndFlows/Stocks/Stock/FOutput" xmlDataType="int"/>
    </tableColumn>
    <tableColumn id="10" xr3:uid="{8CFF61F4-1703-42A9-9B2E-CE8A496D52BF}" uniqueName="MOutput" name="MOutput" dataDxfId="120">
      <xmlColumnPr mapId="1" xpath="/DNSMStocksAndFlows/Stocks/Stock/MOutput" xmlDataType="int"/>
    </tableColumn>
    <tableColumn id="11" xr3:uid="{BA63F50E-9284-4174-8D29-32CFDC703D80}" uniqueName="ToSimInd" name="ToSimInd" dataDxfId="119">
      <xmlColumnPr mapId="1" xpath="/DNSMStocksAndFlows/Stocks/Stock/ToSimInd" xmlDataType="int"/>
    </tableColumn>
    <tableColumn id="12" xr3:uid="{F780DB04-4B8E-4885-95DE-960EDDC83C95}" uniqueName="SimCV" name="SimCV" dataDxfId="118">
      <xmlColumnPr mapId="1" xpath="/DNSMStocksAndFlows/Stocks/Stock/SimCV" xmlDataType="double"/>
    </tableColumn>
    <tableColumn id="13" xr3:uid="{2A2F1D40-1498-44CD-AEB3-998A662FE8DE}" uniqueName="NumberOfBases" name="NumberOfBases" dataDxfId="117">
      <calculatedColumnFormula>COUNTA(X14,AB14,AF14,AJ14,AN14,AR14)</calculatedColumnFormula>
      <xmlColumnPr mapId="1" xpath="/DNSMStocksAndFlows/Stocks/Stock/NumberOfBases" xmlDataType="int"/>
    </tableColumn>
    <tableColumn id="14" xr3:uid="{CA1F0350-6EC5-40B3-B6DB-557346A1FA4C}" uniqueName="Base1Type" name="Base1Type" dataDxfId="116">
      <calculatedColumnFormula>IF(ISBLANK(X14),0,IF(OR(LEFT(X14,1)="B",LEFT(X14,1)="T"),1,2))</calculatedColumnFormula>
      <xmlColumnPr mapId="1" xpath="/DNSMStocksAndFlows/Stocks/Stock/Base1Type" xmlDataType="int"/>
    </tableColumn>
    <tableColumn id="15" xr3:uid="{C1300580-6022-4F67-9F8B-E4B7A83F2224}" uniqueName="Base1Variable" name="Base1Variable" dataDxfId="115">
      <xmlColumnPr mapId="1" xpath="/DNSMStocksAndFlows/Stocks/Stock/Base1Variable" xmlDataType="string"/>
    </tableColumn>
    <tableColumn id="16" xr3:uid="{5E5AED00-6A49-4C67-B358-BDA962BEE7E4}" uniqueName="Base1IndexOrCode" name="Base1IndexOrCode" dataDxfId="114">
      <calculatedColumnFormula>IF(W14=0,0,IF(W14=1,MATCH(X14,$K$14:$K$39,0),MATCH(X14,$K$43:$K$66,0)))</calculatedColumnFormula>
      <xmlColumnPr mapId="1" xpath="/DNSMStocksAndFlows/Stocks/Stock/Base1IndexOrCode" xmlDataType="int"/>
    </tableColumn>
    <tableColumn id="17" xr3:uid="{96ADF986-92D1-4B66-A9B4-A5291CDAF042}" uniqueName="Base1Weighting" name="Base1Weighting" dataDxfId="113">
      <xmlColumnPr mapId="1" xpath="/DNSMStocksAndFlows/Stocks/Stock/Base1Weighting" xmlDataType="double"/>
    </tableColumn>
    <tableColumn id="18" xr3:uid="{87DE2C1D-4103-4AFD-971F-6BD9CDB00953}" uniqueName="Base2Type" name="Base2Type" dataDxfId="112">
      <calculatedColumnFormula>IF(ISBLANK(AB14),0,IF(OR(LEFT(AB14,1)="B",LEFT(AB14,1)="T"),1,2))</calculatedColumnFormula>
      <xmlColumnPr mapId="1" xpath="/DNSMStocksAndFlows/Stocks/Stock/Base2Type" xmlDataType="int"/>
    </tableColumn>
    <tableColumn id="19" xr3:uid="{5C023140-B989-4594-87A7-CDC272100804}" uniqueName="Base2Variable" name="Base2Variable" dataDxfId="111">
      <xmlColumnPr mapId="1" xpath="/DNSMStocksAndFlows/Stocks/Stock/Base2Variable" xmlDataType="string"/>
    </tableColumn>
    <tableColumn id="20" xr3:uid="{15FF0D15-3A4C-4E33-8D0B-0B7144013310}" uniqueName="Base2IndexOrCode" name="Base2IndexOrCode" dataDxfId="110">
      <calculatedColumnFormula>IF(AA14=0,0,IF(AA14=1,MATCH(AB14,$K$14:$K$39,0),MATCH(AB14,$K$43:$K$66,0)))</calculatedColumnFormula>
      <xmlColumnPr mapId="1" xpath="/DNSMStocksAndFlows/Stocks/Stock/Base2IndexOrCode" xmlDataType="int"/>
    </tableColumn>
    <tableColumn id="21" xr3:uid="{8E893201-D06C-4B2E-AA3E-0263FFE2DF57}" uniqueName="Base2Weighting" name="Base2Weighting" dataDxfId="109">
      <xmlColumnPr mapId="1" xpath="/DNSMStocksAndFlows/Stocks/Stock/Base2Weighting" xmlDataType="double"/>
    </tableColumn>
    <tableColumn id="22" xr3:uid="{01BBC202-A412-41BC-9590-9D54A786F4AA}" uniqueName="Base3Type" name="Base3Type" dataDxfId="108">
      <calculatedColumnFormula>IF(ISBLANK(AF14),0,IF(OR(LEFT(AF14,1)="B",LEFT(AF14,1)="T"),1,2))</calculatedColumnFormula>
      <xmlColumnPr mapId="1" xpath="/DNSMStocksAndFlows/Stocks/Stock/Base3Type" xmlDataType="int"/>
    </tableColumn>
    <tableColumn id="23" xr3:uid="{032AACB2-8397-4179-98C3-488A244AB1D4}" uniqueName="Base3Variable" name="Base3Variable" dataDxfId="107">
      <xmlColumnPr mapId="1" xpath="/DNSMStocksAndFlows/Stocks/Stock/Base3Variable" xmlDataType="string"/>
    </tableColumn>
    <tableColumn id="24" xr3:uid="{3E8EF4F0-4813-4E65-9EFC-3C0BA385434A}" uniqueName="Base3IndexOrCode" name="Base3IndexOrCode" dataDxfId="106">
      <calculatedColumnFormula>IF(AE14=0,0,IF(AE14=1,MATCH(AF14,$K$14:$K$39,0),MATCH(AF14,$K$43:$K$66,0)))</calculatedColumnFormula>
      <xmlColumnPr mapId="1" xpath="/DNSMStocksAndFlows/Stocks/Stock/Base3IndexOrCode" xmlDataType="int"/>
    </tableColumn>
    <tableColumn id="25" xr3:uid="{B627E189-9E0B-4F34-926B-77F8A7AED393}" uniqueName="Base3Weighting" name="Base3Weighting" dataDxfId="105">
      <xmlColumnPr mapId="1" xpath="/DNSMStocksAndFlows/Stocks/Stock/Base3Weighting" xmlDataType="double"/>
    </tableColumn>
    <tableColumn id="26" xr3:uid="{94FA25D4-D623-497F-A88B-93B103095F11}" uniqueName="Base4Type" name="Base4Type" dataDxfId="104">
      <calculatedColumnFormula>IF(ISBLANK(AJ14),0,IF(OR(LEFT(AJ14,1)="B",LEFT(AJ14,1)="T"),1,2))</calculatedColumnFormula>
      <xmlColumnPr mapId="1" xpath="/DNSMStocksAndFlows/Stocks/Stock/Base4Type" xmlDataType="int"/>
    </tableColumn>
    <tableColumn id="27" xr3:uid="{C4BB641B-C921-4725-955F-B5083820C3FD}" uniqueName="Base4Variable" name="Base4Variable" dataDxfId="103">
      <xmlColumnPr mapId="1" xpath="/DNSMStocksAndFlows/Stocks/Stock/Base4Variable" xmlDataType="string"/>
    </tableColumn>
    <tableColumn id="28" xr3:uid="{CB7E7AB2-F127-40D5-BECE-F0D399CAC9C5}" uniqueName="Base4IndexOrCode" name="Base4IndexOrCode" dataDxfId="102">
      <calculatedColumnFormula>IF(AI14=0,0,IF(AI14=1,MATCH(AJ14,$K$14:$K$39,0),MATCH(AJ14,$K$43:$K$66,0)))</calculatedColumnFormula>
      <xmlColumnPr mapId="1" xpath="/DNSMStocksAndFlows/Stocks/Stock/Base4IndexOrCode" xmlDataType="int"/>
    </tableColumn>
    <tableColumn id="29" xr3:uid="{7B49E9A3-BDB2-4BDD-B686-3CE0AB05E6B6}" uniqueName="Base4Weighting" name="Base4Weighting" dataDxfId="101">
      <xmlColumnPr mapId="1" xpath="/DNSMStocksAndFlows/Stocks/Stock/Base4Weighting" xmlDataType="double"/>
    </tableColumn>
    <tableColumn id="30" xr3:uid="{CA7BEC7E-B52C-479B-82CA-3D74A6A7198D}" uniqueName="Base5Type" name="Base5Type" dataDxfId="100">
      <calculatedColumnFormula>IF(ISBLANK(AN14),0,IF(OR(LEFT(AN14,1)="B",LEFT(AN14,1)="T"),1,2))</calculatedColumnFormula>
      <xmlColumnPr mapId="1" xpath="/DNSMStocksAndFlows/Stocks/Stock/Base5Type" xmlDataType="int"/>
    </tableColumn>
    <tableColumn id="31" xr3:uid="{76B2218F-1B67-412F-9A5B-6562EFCB6CAB}" uniqueName="Base5Variable" name="Base5Variable" dataDxfId="99">
      <xmlColumnPr mapId="1" xpath="/DNSMStocksAndFlows/Stocks/Stock/Base5Variable" xmlDataType="string"/>
    </tableColumn>
    <tableColumn id="32" xr3:uid="{A819B550-F53B-42BE-8601-ABA2A6BB86B5}" uniqueName="Base5IndexOrCode" name="Base5IndexOrCode" dataDxfId="98">
      <calculatedColumnFormula>IF(AM14=0,0,IF(AM14=1,MATCH(AN14,$K$14:$K$39,0),MATCH(AN14,$K$43:$K$66,0)))</calculatedColumnFormula>
      <xmlColumnPr mapId="1" xpath="/DNSMStocksAndFlows/Stocks/Stock/Base5IndexOrCode" xmlDataType="int"/>
    </tableColumn>
    <tableColumn id="33" xr3:uid="{A6C97608-BF3F-4DAA-9FAD-41946D038D9B}" uniqueName="Base5Weighting" name="Base5Weighting" dataDxfId="97">
      <xmlColumnPr mapId="1" xpath="/DNSMStocksAndFlows/Stocks/Stock/Base5Weighting" xmlDataType="double"/>
    </tableColumn>
    <tableColumn id="34" xr3:uid="{01A56003-ADEC-49AB-9EF6-95893CFD8AEE}" uniqueName="Base6Type" name="Base6Type" dataDxfId="96">
      <calculatedColumnFormula>IF(ISBLANK(AR14),0,IF(OR(LEFT(AR14,1)="B",LEFT(AR14,1)="T"),1,2))</calculatedColumnFormula>
      <xmlColumnPr mapId="1" xpath="/DNSMStocksAndFlows/Stocks/Stock/Base6Type" xmlDataType="int"/>
    </tableColumn>
    <tableColumn id="35" xr3:uid="{F808D0DA-053F-42D8-8391-1EF5A8960B1F}" uniqueName="Base6Variable" name="Base6Variable" dataDxfId="95">
      <xmlColumnPr mapId="1" xpath="/DNSMStocksAndFlows/Stocks/Stock/Base6Variable" xmlDataType="string"/>
    </tableColumn>
    <tableColumn id="36" xr3:uid="{58BC2188-1FBD-40DF-9A26-28A32E01D25E}" uniqueName="Base6IndexOrCode" name="Base6IndexOrCode" dataDxfId="94">
      <calculatedColumnFormula>IF(AQ14=0,0,IF(AQ14=1,MATCH(AR14,$K$14:$K$39,0),MATCH(AR14,$K$43:$K$66,0)))</calculatedColumnFormula>
      <xmlColumnPr mapId="1" xpath="/DNSMStocksAndFlows/Stocks/Stock/Base6IndexOrCode" xmlDataType="int"/>
    </tableColumn>
    <tableColumn id="37" xr3:uid="{5F60C72D-6491-4521-8A34-63363709B0BD}" uniqueName="Base6Weighting" name="Base6Weighting" dataDxfId="93">
      <xmlColumnPr mapId="1" xpath="/DNSMStocksAndFlows/Stocks/Stock/Base6Weighting" xmlDataType="double"/>
    </tableColumn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17ABD59-3E1A-46FE-B4AE-79E5D867B05B}" name="List14" displayName="List14" ref="F46:H47" tableType="xml" totalsRowShown="0" headerRowDxfId="92">
  <autoFilter ref="F46:H47" xr:uid="{B17ABD59-3E1A-46FE-B4AE-79E5D867B05B}"/>
  <tableColumns count="3">
    <tableColumn id="1" xr3:uid="{E69864E0-6BBA-4DE1-AD0B-E8A059F17F84}" uniqueName="Name" name="Name" dataDxfId="91">
      <xmlColumnPr mapId="1" xpath="/DNSMStocksAndFlows/Flows/ParameterList/Parameter/@Name" xmlDataType="string"/>
    </tableColumn>
    <tableColumn id="2" xr3:uid="{FB26422D-EC5F-4E21-AED2-FCF84DF1767B}" uniqueName="Type" name="Type" dataDxfId="90">
      <xmlColumnPr mapId="1" xpath="/DNSMStocksAndFlows/Flows/ParameterList/Parameter/@Type" xmlDataType="string"/>
    </tableColumn>
    <tableColumn id="3" xr3:uid="{D37FD70D-A652-4DB5-8BFD-59EFA96E93BC}" uniqueName="Value" name="Value" dataDxfId="89">
      <xmlColumnPr mapId="1" xpath="/DNSMStocksAndFlows/Flows/ParameterList/Parameter/Value" xmlDataType="string"/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81147D-55AB-42B9-9670-51492D188497}" name="List15" displayName="List15" ref="J42:AS66" tableType="xml" totalsRowShown="0" headerRowDxfId="88">
  <autoFilter ref="J42:AS66" xr:uid="{8881147D-55AB-42B9-9670-51492D188497}"/>
  <tableColumns count="36">
    <tableColumn id="1" xr3:uid="{43114BF6-3DC9-412F-86D4-98514701AC6F}" uniqueName="Position" name="Position" dataDxfId="87">
      <calculatedColumnFormula>N(J42)+1</calculatedColumnFormula>
      <xmlColumnPr mapId="1" xpath="/DNSMStocksAndFlows/Flows/Flow/@Position" xmlDataType="int"/>
    </tableColumn>
    <tableColumn id="2" xr3:uid="{F06E135C-5B63-4BB2-A1E6-2C5E25FD97D5}" uniqueName="Mneumonic" name="Mneumonic" dataDxfId="86">
      <calculatedColumnFormula>"DF"&amp;L43</calculatedColumnFormula>
      <xmlColumnPr mapId="1" xpath="/DNSMStocksAndFlows/Flows/Flow/Mneumonic" xmlDataType="string"/>
    </tableColumn>
    <tableColumn id="3" xr3:uid="{7C4598D1-CF5E-4FF2-A634-DC07309C569D}" uniqueName="Shorthand" name="Shorthand" dataDxfId="85">
      <xmlColumnPr mapId="1" xpath="/DNSMStocksAndFlows/Flows/Flow/Shorthand" xmlDataType="string"/>
    </tableColumn>
    <tableColumn id="4" xr3:uid="{4C1F28D5-A96B-4DC3-A18D-0B52ADE6D021}" uniqueName="Concept" name="Concept" dataDxfId="84">
      <xmlColumnPr mapId="1" xpath="/DNSMStocksAndFlows/Flows/Flow/Concept" xmlDataType="string"/>
    </tableColumn>
    <tableColumn id="5" xr3:uid="{057E54A1-EFC9-4801-893F-F7CE501D65E1}" uniqueName="PrePost" name="PrePost" dataDxfId="83">
      <xmlColumnPr mapId="1" xpath="/DNSMStocksAndFlows/Flows/Flow/PrePost" xmlDataType="string"/>
    </tableColumn>
    <tableColumn id="6" xr3:uid="{19685382-AB5C-4367-9626-CD6C33AB4D30}" uniqueName="AorS" name="AorS" dataDxfId="82">
      <xmlColumnPr mapId="1" xpath="/DNSMStocksAndFlows/Flows/Flow/AorS" xmlDataType="string"/>
    </tableColumn>
    <tableColumn id="7" xr3:uid="{442BC9BD-42E3-414C-B770-25F60F343A45}" uniqueName="RollWeighting" name="RollWeighting" dataDxfId="81">
      <xmlColumnPr mapId="1" xpath="/DNSMStocksAndFlows/Flows/Flow/RollWeighting" xmlDataType="string"/>
    </tableColumn>
    <tableColumn id="8" xr3:uid="{038A64D8-3AC8-4961-91F9-47FC4AF8F094}" uniqueName="ActualsVariable" name="ActualsVariable" dataDxfId="80">
      <xmlColumnPr mapId="1" xpath="/DNSMStocksAndFlows/Flows/Flow/ActualsVariable" xmlDataType="string"/>
    </tableColumn>
    <tableColumn id="9" xr3:uid="{3DA33D70-85A8-484D-B3C8-E53BB01B455B}" uniqueName="NumberOfFlowMatrices" name="NumberOfFlowMatrices" dataDxfId="79">
      <xmlColumnPr mapId="1" xpath="/DNSMStocksAndFlows/Flows/Flow/NumberOfFlowMatrices" xmlDataType="int"/>
    </tableColumn>
    <tableColumn id="10" xr3:uid="{949E7630-A0B3-4721-9A7E-1FC2A4723107}" uniqueName="ToSimInd" name="ToSimInd" dataDxfId="78">
      <xmlColumnPr mapId="1" xpath="/DNSMStocksAndFlows/Flows/Flow/ToSimInd" xmlDataType="int"/>
    </tableColumn>
    <tableColumn id="11" xr3:uid="{E0D7782C-B5A4-4E67-8903-8768B1E06936}" uniqueName="SimCV" name="SimCV" dataDxfId="77">
      <xmlColumnPr mapId="1" xpath="/DNSMStocksAndFlows/Flows/Flow/SimCV" xmlDataType="double"/>
    </tableColumn>
    <tableColumn id="12" xr3:uid="{3287C3B8-0F91-4C8E-8560-497D405F270F}" uniqueName="NumberOfBases" name="NumberOfBases" dataDxfId="76">
      <calculatedColumnFormula>COUNTA(W43,AA43,AE43,AI43,AM43,AQ43)</calculatedColumnFormula>
      <xmlColumnPr mapId="1" xpath="/DNSMStocksAndFlows/Flows/Flow/NumberOfBases" xmlDataType="int"/>
    </tableColumn>
    <tableColumn id="13" xr3:uid="{243F1CE2-DF6E-4C00-B7C3-440BDB8276DC}" uniqueName="Base1Type" name="Base1Type" dataDxfId="75">
      <calculatedColumnFormula>IF(ISBLANK(W43),0,IF(OR(LEFT(W43,1)="B",LEFT(W43,1)="T"),1,2))</calculatedColumnFormula>
      <xmlColumnPr mapId="1" xpath="/DNSMStocksAndFlows/Flows/Flow/Base1Type" xmlDataType="int"/>
    </tableColumn>
    <tableColumn id="14" xr3:uid="{99513E0F-CEAF-47FD-8855-40024B95D0B5}" uniqueName="Base1Variable" name="Base1Variable" dataDxfId="74">
      <xmlColumnPr mapId="1" xpath="/DNSMStocksAndFlows/Flows/Flow/Base1Variable" xmlDataType="string"/>
    </tableColumn>
    <tableColumn id="15" xr3:uid="{A2B4D7F0-4208-40EB-8BDB-F112D4BFBE07}" uniqueName="Base1IndexOrCode" name="Base1IndexOrCode" dataDxfId="73">
      <calculatedColumnFormula>IF(V43=0,0,IF(V43=1,MATCH(W43,$K$14:$K$39,0),MATCH(W43,$K$43:$K$66,0)))</calculatedColumnFormula>
      <xmlColumnPr mapId="1" xpath="/DNSMStocksAndFlows/Flows/Flow/Base1IndexOrCode" xmlDataType="int"/>
    </tableColumn>
    <tableColumn id="16" xr3:uid="{C4C46B40-7972-42C9-8CB6-754CADC212D4}" uniqueName="Base1Weighting" name="Base1Weighting" dataDxfId="72">
      <xmlColumnPr mapId="1" xpath="/DNSMStocksAndFlows/Flows/Flow/Base1Weighting" xmlDataType="double"/>
    </tableColumn>
    <tableColumn id="17" xr3:uid="{C3924B26-BCE5-4F4E-8D02-8BF7B86FD2B9}" uniqueName="Base2Type" name="Base2Type" dataDxfId="71">
      <calculatedColumnFormula>IF(ISBLANK(AA43),0,IF(OR(LEFT(AA43,1)="B",LEFT(AA43,1)="T"),1,2))</calculatedColumnFormula>
      <xmlColumnPr mapId="1" xpath="/DNSMStocksAndFlows/Flows/Flow/Base2Type" xmlDataType="int"/>
    </tableColumn>
    <tableColumn id="18" xr3:uid="{3F045E80-A968-4347-8C5C-5DCA1CA0FA4C}" uniqueName="Base2Variable" name="Base2Variable" dataDxfId="70">
      <xmlColumnPr mapId="1" xpath="/DNSMStocksAndFlows/Flows/Flow/Base2Variable" xmlDataType="string"/>
    </tableColumn>
    <tableColumn id="19" xr3:uid="{4EE5300D-D28A-4A07-938D-941903AD9376}" uniqueName="Base2IndexOrCode" name="Base2IndexOrCode" dataDxfId="69">
      <calculatedColumnFormula>IF(Z43=0,0,IF(Z43=1,MATCH(AA43,$K$14:$K$39,0),MATCH(AA43,$K$43:$K$66,0)))</calculatedColumnFormula>
      <xmlColumnPr mapId="1" xpath="/DNSMStocksAndFlows/Flows/Flow/Base2IndexOrCode" xmlDataType="int"/>
    </tableColumn>
    <tableColumn id="20" xr3:uid="{9A4AC4AE-009E-485B-9C10-DCEC6BA337FD}" uniqueName="Base2Weighting" name="Base2Weighting" dataDxfId="68">
      <xmlColumnPr mapId="1" xpath="/DNSMStocksAndFlows/Flows/Flow/Base2Weighting" xmlDataType="double"/>
    </tableColumn>
    <tableColumn id="21" xr3:uid="{DF549BAB-11CC-4938-9C2B-6840EE9C893F}" uniqueName="Base3Type" name="Base3Type" dataDxfId="67">
      <calculatedColumnFormula>IF(ISBLANK(AE43),0,IF(OR(LEFT(AE43,1)="B",LEFT(AE43,1)="T"),1,2))</calculatedColumnFormula>
      <xmlColumnPr mapId="1" xpath="/DNSMStocksAndFlows/Flows/Flow/Base3Type" xmlDataType="int"/>
    </tableColumn>
    <tableColumn id="22" xr3:uid="{11317A5F-2287-43BD-9F40-5D65E6D8925A}" uniqueName="Base3Variable" name="Base3Variable" dataDxfId="66">
      <xmlColumnPr mapId="1" xpath="/DNSMStocksAndFlows/Flows/Flow/Base3Variable" xmlDataType="string"/>
    </tableColumn>
    <tableColumn id="23" xr3:uid="{687E5631-BF03-4D3B-9A12-D8ACCA5F71B8}" uniqueName="Base3IndexOrCode" name="Base3IndexOrCode" dataDxfId="65">
      <calculatedColumnFormula>IF(AD43=0,0,IF(AD43=1,MATCH(AE43,$K$14:$K$39,0),MATCH(AE43,$K$43:$K$66,0)))</calculatedColumnFormula>
      <xmlColumnPr mapId="1" xpath="/DNSMStocksAndFlows/Flows/Flow/Base3IndexOrCode" xmlDataType="int"/>
    </tableColumn>
    <tableColumn id="24" xr3:uid="{3AD33E6D-7986-4677-985F-C17E3E1FD2E3}" uniqueName="Base3Weighting" name="Base3Weighting" dataDxfId="64">
      <xmlColumnPr mapId="1" xpath="/DNSMStocksAndFlows/Flows/Flow/Base3Weighting" xmlDataType="double"/>
    </tableColumn>
    <tableColumn id="25" xr3:uid="{FF81E741-AB0A-4E6E-9FA7-B8B2C57EA541}" uniqueName="Base4Type" name="Base4Type" dataDxfId="63">
      <calculatedColumnFormula>IF(ISBLANK(AI43),0,IF(OR(LEFT(AI43,1)="B",LEFT(AI43,1)="T"),1,2))</calculatedColumnFormula>
      <xmlColumnPr mapId="1" xpath="/DNSMStocksAndFlows/Flows/Flow/Base4Type" xmlDataType="int"/>
    </tableColumn>
    <tableColumn id="26" xr3:uid="{5C33AF41-7ECA-4FA7-B97A-851AD532D83A}" uniqueName="Base4Variable" name="Base4Variable" dataDxfId="62">
      <xmlColumnPr mapId="1" xpath="/DNSMStocksAndFlows/Flows/Flow/Base4Variable" xmlDataType="string"/>
    </tableColumn>
    <tableColumn id="27" xr3:uid="{7EBAB439-C811-42D0-8FEF-8D3683A0BC79}" uniqueName="Base4IndexOrCode" name="Base4IndexOrCode" dataDxfId="61">
      <calculatedColumnFormula>IF(AH43=0,0,IF(AH43=1,MATCH(AI43,$K$14:$K$39,0),MATCH(AI43,$K$43:$K$66,0)))</calculatedColumnFormula>
      <xmlColumnPr mapId="1" xpath="/DNSMStocksAndFlows/Flows/Flow/Base4IndexOrCode" xmlDataType="int"/>
    </tableColumn>
    <tableColumn id="28" xr3:uid="{3A9E1D5F-43CD-493D-8BDA-8EAEAC36BCA7}" uniqueName="Base4Weighting" name="Base4Weighting" dataDxfId="60">
      <xmlColumnPr mapId="1" xpath="/DNSMStocksAndFlows/Flows/Flow/Base4Weighting" xmlDataType="double"/>
    </tableColumn>
    <tableColumn id="29" xr3:uid="{6E2618BC-A588-491F-820B-B0FF9A774EBE}" uniqueName="Base5Type" name="Base5Type" dataDxfId="59">
      <calculatedColumnFormula>IF(ISBLANK(AM43),0,IF(OR(LEFT(AM43,1)="B",LEFT(AM43,1)="T"),1,2))</calculatedColumnFormula>
      <xmlColumnPr mapId="1" xpath="/DNSMStocksAndFlows/Flows/Flow/Base5Type" xmlDataType="int"/>
    </tableColumn>
    <tableColumn id="30" xr3:uid="{9D52EA58-F14C-41E1-84DC-249207217B65}" uniqueName="Base5Variable" name="Base5Variable" dataDxfId="58">
      <xmlColumnPr mapId="1" xpath="/DNSMStocksAndFlows/Flows/Flow/Base5Variable" xmlDataType="string"/>
    </tableColumn>
    <tableColumn id="31" xr3:uid="{8A50C575-DBC0-449B-8C2C-B1B4BA79F641}" uniqueName="Base5IndexOrCode" name="Base5IndexOrCode" dataDxfId="57">
      <calculatedColumnFormula>IF(AL43=0,0,IF(AL43=1,MATCH(AM43,$K$14:$K$39,0),MATCH(AM43,$K$43:$K$66,0)))</calculatedColumnFormula>
      <xmlColumnPr mapId="1" xpath="/DNSMStocksAndFlows/Flows/Flow/Base5IndexOrCode" xmlDataType="int"/>
    </tableColumn>
    <tableColumn id="32" xr3:uid="{2C429F0A-F98A-48EF-9D9B-257C241D8319}" uniqueName="Base5Weighting" name="Base5Weighting" dataDxfId="56">
      <xmlColumnPr mapId="1" xpath="/DNSMStocksAndFlows/Flows/Flow/Base5Weighting" xmlDataType="double"/>
    </tableColumn>
    <tableColumn id="33" xr3:uid="{672ACE0A-0257-4D9D-8687-F0190524BB0B}" uniqueName="Base6Type" name="Base6Type" dataDxfId="55">
      <calculatedColumnFormula>IF(ISBLANK(AQ43),0,IF(OR(LEFT(AQ43,1)="B",LEFT(AQ43,1)="T"),1,2))</calculatedColumnFormula>
      <xmlColumnPr mapId="1" xpath="/DNSMStocksAndFlows/Flows/Flow/Base6Type" xmlDataType="int"/>
    </tableColumn>
    <tableColumn id="34" xr3:uid="{0A33EFD7-5CAC-463F-855F-04D2E013B5F0}" uniqueName="Base6Variable" name="Base6Variable" dataDxfId="54">
      <xmlColumnPr mapId="1" xpath="/DNSMStocksAndFlows/Flows/Flow/Base6Variable" xmlDataType="string"/>
    </tableColumn>
    <tableColumn id="35" xr3:uid="{3A5242F7-A053-4E2F-B8A3-E620A1904781}" uniqueName="Base6IndexOrCode" name="Base6IndexOrCode" dataDxfId="53">
      <calculatedColumnFormula>IF(AP43=0,0,IF(AP43=1,MATCH(AQ43,$K$14:$K$39,0),MATCH(AQ43,$K$43:$K$66,0)))</calculatedColumnFormula>
      <xmlColumnPr mapId="1" xpath="/DNSMStocksAndFlows/Flows/Flow/Base6IndexOrCode" xmlDataType="int"/>
    </tableColumn>
    <tableColumn id="36" xr3:uid="{238285FD-56DC-40C9-B084-86D264EDF0F1}" uniqueName="Base6Weighting" name="Base6Weighting" dataDxfId="52">
      <xmlColumnPr mapId="1" xpath="/DNSMStocksAndFlows/Flows/Flow/Base6Weighting" xmlDataType="double"/>
    </tableColumn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534332C-24EC-4CA9-BF31-966B2739862F}" name="List17" displayName="List17" ref="A25:D66" tableType="xml" totalsRowShown="0" headerRowDxfId="51">
  <autoFilter ref="A25:D66" xr:uid="{E534332C-24EC-4CA9-BF31-966B2739862F}"/>
  <tableColumns count="4">
    <tableColumn id="1" xr3:uid="{34C4A6D9-8317-4DBE-B5C0-20CE7B7BEA39}" uniqueName="Position" name="Position" dataDxfId="50">
      <calculatedColumnFormula>N(A25)+1</calculatedColumnFormula>
      <xmlColumnPr mapId="1" xpath="/DNSMStocksAndFlows/Orders/Order/@Position" xmlDataType="int"/>
    </tableColumn>
    <tableColumn id="2" xr3:uid="{185270C3-D0F9-4B55-9705-28DF122375A8}" uniqueName="Mneumonic" name="Mneumonic" dataDxfId="49">
      <xmlColumnPr mapId="1" xpath="/DNSMStocksAndFlows/Orders/Order/Mneumonic" xmlDataType="string"/>
    </tableColumn>
    <tableColumn id="3" xr3:uid="{FAD96EED-25FF-4855-AEDB-CB1EDE26034C}" uniqueName="USF" name="USF" dataDxfId="48">
      <calculatedColumnFormula>IF(LEFT(B26,1)="F",2,IF(LEFT(B26,1)="D",2,1))</calculatedColumnFormula>
      <xmlColumnPr mapId="1" xpath="/DNSMStocksAndFlows/Orders/Order/USF" xmlDataType="int"/>
    </tableColumn>
    <tableColumn id="4" xr3:uid="{CDC63A16-E078-45C2-B9CB-652AF04D0162}" uniqueName="IndexOrCode" name="IndexOrCode" dataDxfId="47">
      <calculatedColumnFormula>IF(C26=1,MATCH(B26,$K$14:$K$40,0),IF(C26=2,MATCH(B26,$K$43:$K$66,0),0))</calculatedColumnFormula>
      <xmlColumnPr mapId="1" xpath="/DNSMStocksAndFlows/Orders/Order/IndexOrCode" xmlDataType="int"/>
    </tableColumn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9E68F9A-B186-45BA-BC0D-1D3A887F7A97}" name="List19" displayName="List19" ref="F5:H6" tableType="xml" totalsRowShown="0" headerRowDxfId="46">
  <autoFilter ref="F5:H6" xr:uid="{39E68F9A-B186-45BA-BC0D-1D3A887F7A97}"/>
  <tableColumns count="3">
    <tableColumn id="1" xr3:uid="{BE4D2244-AE77-4E35-A90C-29DF66CA0A81}" uniqueName="Name" name="Name" dataDxfId="45">
      <xmlColumnPr mapId="1" xpath="/DNSMStocksAndFlows/Units/ParameterList/Parameter/@Name" xmlDataType="string"/>
    </tableColumn>
    <tableColumn id="2" xr3:uid="{AEF46FBE-DDC1-4323-AC55-7164FA3B4240}" uniqueName="Type" name="Type" dataDxfId="44">
      <xmlColumnPr mapId="1" xpath="/DNSMStocksAndFlows/Units/ParameterList/Parameter/@Type" xmlDataType="string"/>
    </tableColumn>
    <tableColumn id="3" xr3:uid="{7FA3A638-4CED-4BF9-9C3C-16D5882DD2A1}" uniqueName="Value" name="Value" dataDxfId="43">
      <xmlColumnPr mapId="1" xpath="/DNSMStocksAndFlows/Units/ParameterList/Parameter/Value" xmlDataType="string"/>
    </tableColumn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70F2F62-2076-4BEF-8A1B-8A2DB50022FC}" name="List20" displayName="List20" ref="J4:R5" tableType="xml" totalsRowShown="0" headerRowDxfId="42">
  <autoFilter ref="J4:R5" xr:uid="{970F2F62-2076-4BEF-8A1B-8A2DB50022FC}"/>
  <tableColumns count="9">
    <tableColumn id="1" xr3:uid="{BD5A96A7-3A5D-41D7-A901-E7E29F05E610}" uniqueName="Position" name="Position" dataDxfId="41">
      <calculatedColumnFormula>N(J4)+1</calculatedColumnFormula>
      <xmlColumnPr mapId="1" xpath="/DNSMStocksAndFlows/Units/Unit/@Position" xmlDataType="int"/>
    </tableColumn>
    <tableColumn id="2" xr3:uid="{0F1799D0-5C0A-42A0-A62A-D0DED22AC415}" uniqueName="Mneumonic" name="Mneumonic" dataDxfId="40">
      <xmlColumnPr mapId="1" xpath="/DNSMStocksAndFlows/Units/Unit/Mneumonic" xmlDataType="string"/>
    </tableColumn>
    <tableColumn id="3" xr3:uid="{6D17BAB2-7AF2-4B3F-BE5E-1ED98A9552F4}" uniqueName="Shorthand" name="Shorthand" dataDxfId="39">
      <xmlColumnPr mapId="1" xpath="/DNSMStocksAndFlows/Units/Unit/Shorthand" xmlDataType="string"/>
    </tableColumn>
    <tableColumn id="4" xr3:uid="{E748D11E-3DBA-4072-999F-692E4247A564}" uniqueName="Concept" name="Concept" dataDxfId="38">
      <xmlColumnPr mapId="1" xpath="/DNSMStocksAndFlows/Units/Unit/Concept" xmlDataType="string"/>
    </tableColumn>
    <tableColumn id="5" xr3:uid="{08751E97-67EB-4977-9A3F-616187030AB7}" uniqueName="ActualsVariable" name="ActualsVariable" dataDxfId="37">
      <xmlColumnPr mapId="1" xpath="/DNSMStocksAndFlows/Units/Unit/ActualsVariable" xmlDataType="string"/>
    </tableColumn>
    <tableColumn id="6" xr3:uid="{F6B8D8E0-7937-48D0-AD1C-33E74650945A}" uniqueName="Type" name="Type" dataDxfId="36">
      <xmlColumnPr mapId="1" xpath="/DNSMStocksAndFlows/Units/Unit/Type" xmlDataType="string"/>
    </tableColumn>
    <tableColumn id="7" xr3:uid="{827AB513-A1DE-4352-AECF-32C40BAB34C6}" uniqueName="ToSimInd" name="ToSimInd" dataDxfId="35">
      <xmlColumnPr mapId="1" xpath="/DNSMStocksAndFlows/Units/Unit/ToSimInd" xmlDataType="int"/>
    </tableColumn>
    <tableColumn id="8" xr3:uid="{28B7C617-8F80-42B7-899A-1E6B5AED0A75}" uniqueName="SimCVStructural" name="SimCVStructural" dataDxfId="34">
      <xmlColumnPr mapId="1" xpath="/DNSMStocksAndFlows/Units/Unit/SimCVStructural" xmlDataType="double"/>
    </tableColumn>
    <tableColumn id="9" xr3:uid="{4CE7859B-935B-49A0-8D86-5574EFA803EB}" uniqueName="SimCVPerPeriod" name="SimCVPerPeriod" dataDxfId="33">
      <xmlColumnPr mapId="1" xpath="/DNSMStocksAndFlows/Units/Unit/SimCVPerPeriod" xmlDataType="double"/>
    </tableColumn>
  </tableColumns>
  <tableStyleInfo name="TableStyleLight2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6" xr6:uid="{946D2977-9ED0-4619-8521-68E7F0E14DA0}" r="B2" connectionId="0">
    <xmlCellPr id="1" xr6:uid="{EFC2CBCA-B3C6-4FA1-AA37-F1D23CF3B57E}" uniqueName="Name">
      <xmlPr mapId="2" xpath="/DNSMStateSpace/@Name" xmlDataType="string"/>
    </xmlCellPr>
  </singleXmlCell>
  <singleXmlCell id="17" xr6:uid="{26E250F6-78DB-4B15-946E-41B087919BB9}" r="B3" connectionId="0">
    <xmlCellPr id="1" xr6:uid="{4D04FC38-2B17-46E5-A3B3-980A922C0F9D}" uniqueName="Handle">
      <xmlPr mapId="2" xpath="/DNSMStateSpace/@Handle" xmlDataType="string"/>
    </xmlCellPr>
  </singleXmlCell>
  <singleXmlCell id="18" xr6:uid="{359FAD22-78CA-4966-AB09-F57890BB882B}" r="B14" connectionId="0">
    <xmlCellPr id="1" xr6:uid="{C7F6EE80-1B6A-452B-91E7-3B8865800495}" uniqueName="Handle">
      <xmlPr mapId="2" xpath="/DNSMStateSpace/States/@Handle" xmlDataType="string"/>
    </xmlCellPr>
  </singleXmlCell>
  <singleXmlCell id="19" xr6:uid="{8E0996FF-25A0-4820-8800-C3181B1246B7}" r="B15" connectionId="0">
    <xmlCellPr id="1" xr6:uid="{944A03AA-B291-4043-B65F-19FF1C450DE4}" uniqueName="Number">
      <xmlPr mapId="2" xpath="/DNSMStateSpace/States/Number" xmlDataType="int"/>
    </xmlCellPr>
  </singleXmlCell>
  <singleXmlCell id="20" xr6:uid="{376842D0-71B3-4A14-A1A1-8576F03BF977}" r="B16" connectionId="0">
    <xmlCellPr id="1" xr6:uid="{94617428-46C2-4B87-B5E5-E8684C848389}" uniqueName="NumberOfBaseDimensions">
      <xmlPr mapId="2" xpath="/DNSMStateSpace/States/NumberOfBaseDimensions" xmlDataType="int"/>
    </xmlCellPr>
  </singleXmlCell>
  <singleXmlCell id="21" xr6:uid="{FFB6896E-905F-43F9-9F13-66CEDC187EDB}" r="B17" connectionId="0">
    <xmlCellPr id="1" xr6:uid="{0F433B21-6D86-4CA9-B881-7F64A6A8FFEE}" uniqueName="NumberOfAgePages">
      <xmlPr mapId="2" xpath="/DNSMStateSpace/States/NumberOfAgePages" xmlDataType="int"/>
    </xmlCellPr>
  </singleXmlCell>
  <singleXmlCell id="22" xr6:uid="{4A2780B6-273E-433C-BBD1-E760808D56A7}" r="B18" connectionId="0">
    <xmlCellPr id="1" xr6:uid="{822711C4-5ACE-475F-BA5D-5456B4505951}" uniqueName="Axis1LimitDefault">
      <xmlPr mapId="2" xpath="/DNSMStateSpace/States/Axis1LimitDefault" xmlDataType="int"/>
    </xmlCellPr>
  </singleXmlCell>
  <singleXmlCell id="23" xr6:uid="{4E18EC5B-0F19-473D-9B1A-6D2FBCFADE2B}" r="B19" connectionId="0">
    <xmlCellPr id="1" xr6:uid="{0FEBEF45-8CD7-40F1-BCFE-D09BA8B193E9}" uniqueName="Axis2LimitDefault">
      <xmlPr mapId="2" xpath="/DNSMStateSpace/States/Axis2LimitDefault" xmlDataType="int"/>
    </xmlCellPr>
  </singleXmlCell>
  <singleXmlCell id="24" xr6:uid="{C395BA35-4498-4DF7-BD7B-CBEE241FC8AA}" r="B20" connectionId="0">
    <xmlCellPr id="1" xr6:uid="{1935500D-6247-4104-8B31-4114E573CC9F}" uniqueName="Axis3LimitDefault">
      <xmlPr mapId="2" xpath="/DNSMStateSpace/States/Axis3LimitDefault" xmlDataType="int"/>
    </xmlCellPr>
  </singleXmlCell>
  <singleXmlCell id="25" xr6:uid="{3FCFEC11-8F05-4F43-AA59-EF3F4A2AE73F}" r="B21" connectionId="0">
    <xmlCellPr id="1" xr6:uid="{3D85694E-0F3D-47D5-81E4-C8D203915970}" uniqueName="Axis4LimitDefault">
      <xmlPr mapId="2" xpath="/DNSMStateSpace/States/Axis4LimitDefault" xmlDataType="int"/>
    </xmlCellPr>
  </singleXmlCell>
  <singleXmlCell id="26" xr6:uid="{E0B049FD-D25F-4DD7-9BC3-96953538C68F}" r="L3" connectionId="0">
    <xmlCellPr id="1" xr6:uid="{F366240D-3AFC-4CB2-A36B-ED7B62E12B1B}" uniqueName="Handle">
      <xmlPr mapId="2" xpath="/DNSMStateSpace/Stages/@Handle" xmlDataType="string"/>
    </xmlCellPr>
  </singleXmlCell>
  <singleXmlCell id="27" xr6:uid="{63B45E08-86A9-4E07-A139-3F440F4C0BB1}" r="L4" connectionId="0">
    <xmlCellPr id="1" xr6:uid="{8A559CC2-824E-4B9B-A6D4-6B7810F8924B}" uniqueName="Number">
      <xmlPr mapId="2" xpath="/DNSMStateSpace/Stages/Number" xmlDataType="int"/>
    </xmlCellPr>
  </singleXmlCell>
  <singleXmlCell id="28" xr6:uid="{A080E482-5879-4A31-BD52-BAF91C196A50}" r="L15" connectionId="0">
    <xmlCellPr id="1" xr6:uid="{34A8697D-FAA8-4215-84B7-00BAD282754F}" uniqueName="Handle">
      <xmlPr mapId="2" xpath="/DNSMStateSpace/Bridges/@Handle" xmlDataType="string"/>
    </xmlCellPr>
  </singleXmlCell>
  <singleXmlCell id="29" xr6:uid="{5C6793C3-7160-4C74-ACDA-440BAC5D76CC}" r="L16" connectionId="0">
    <xmlCellPr id="1" xr6:uid="{39300D96-CA4D-49F6-B8FF-161AAAD61E75}" uniqueName="Number">
      <xmlPr mapId="2" xpath="/DNSMStateSpace/Bridges/Number" xmlDataType="int"/>
    </xmlCellPr>
  </singleXmlCell>
</singleXmlCells>
</file>

<file path=xl/tables/tableSingleCells2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30" xr6:uid="{56875415-F775-4412-8076-4280E8E9F29C}" r="B2" connectionId="0">
    <xmlCellPr id="1" xr6:uid="{95926C14-7747-4222-B0F7-786C38A319AD}" uniqueName="Name">
      <xmlPr mapId="1" xpath="/DNSMStocksAndFlows/@Name" xmlDataType="string"/>
    </xmlCellPr>
  </singleXmlCell>
  <singleXmlCell id="31" xr6:uid="{F848D292-85B5-4816-8A16-379942EF7081}" r="B3" connectionId="0">
    <xmlCellPr id="1" xr6:uid="{E7555582-5A42-4B7F-9FB5-66D5E9A37BBF}" uniqueName="Handle">
      <xmlPr mapId="1" xpath="/DNSMStocksAndFlows/@Handle" xmlDataType="string"/>
    </xmlCellPr>
  </singleXmlCell>
  <singleXmlCell id="32" xr6:uid="{FB1340C1-16E7-4C2C-984C-91C0613E2918}" r="G3" connectionId="0">
    <xmlCellPr id="1" xr6:uid="{54D2AB3B-1C4F-4D4E-B5E6-D1FB2E7BC369}" uniqueName="Handle">
      <xmlPr mapId="1" xpath="/DNSMStocksAndFlows/Units/@Handle" xmlDataType="string"/>
    </xmlCellPr>
  </singleXmlCell>
  <singleXmlCell id="33" xr6:uid="{16124DEF-1C2F-4D0B-B7C1-D73D85307C96}" r="G12" connectionId="0">
    <xmlCellPr id="1" xr6:uid="{C7F6A6C9-B164-49ED-AF08-22628DC522E1}" uniqueName="Handle">
      <xmlPr mapId="1" xpath="/DNSMStocksAndFlows/Stocks/@Handle" xmlDataType="string"/>
    </xmlCellPr>
  </singleXmlCell>
  <singleXmlCell id="34" xr6:uid="{FB9A6AE6-DD48-4043-A9C9-8E31557536A7}" r="G13" connectionId="0">
    <xmlCellPr id="1" xr6:uid="{173545CC-C162-453A-A9FB-E77631D8055F}" uniqueName="Number">
      <xmlPr mapId="1" xpath="/DNSMStocksAndFlows/Stocks/Number" xmlDataType="int"/>
    </xmlCellPr>
  </singleXmlCell>
  <singleXmlCell id="35" xr6:uid="{8A6F5E34-17F2-48F9-B2D5-4F65E56595E0}" r="G14" connectionId="0">
    <xmlCellPr id="1" xr6:uid="{F2F6F00E-0FB5-4EA6-80E2-485999941002}" uniqueName="MacroReturnNumber">
      <xmlPr mapId="1" xpath="/DNSMStocksAndFlows/Stocks/MacroReturnNumber" xmlDataType="int"/>
    </xmlCellPr>
  </singleXmlCell>
  <singleXmlCell id="36" xr6:uid="{41EEC229-CA4F-42AC-AAC0-07C0322DE870}" r="G15" connectionId="0">
    <xmlCellPr id="1" xr6:uid="{D3A51D78-16BA-486E-8F0F-5C032B36733A}" uniqueName="FunctionReturnNumber">
      <xmlPr mapId="1" xpath="/DNSMStocksAndFlows/Stocks/FunctionReturnNumber" xmlDataType="int"/>
    </xmlCellPr>
  </singleXmlCell>
  <singleXmlCell id="37" xr6:uid="{487E1714-FD8F-4F9E-864B-16CCA604D631}" r="G41" connectionId="0">
    <xmlCellPr id="1" xr6:uid="{DB1E33B9-34FE-4408-BC37-568399A78861}" uniqueName="Handle">
      <xmlPr mapId="1" xpath="/DNSMStocksAndFlows/Flows/@Handle" xmlDataType="string"/>
    </xmlCellPr>
  </singleXmlCell>
  <singleXmlCell id="38" xr6:uid="{3124A99E-8D5C-454A-A9CF-FAC8CBD3D509}" r="G42" connectionId="0">
    <xmlCellPr id="1" xr6:uid="{CC97D839-589C-4C14-8612-5E26CFF1EAB0}" uniqueName="Number">
      <xmlPr mapId="1" xpath="/DNSMStocksAndFlows/Flows/Number" xmlDataType="int"/>
    </xmlCellPr>
  </singleXmlCell>
  <singleXmlCell id="39" xr6:uid="{F8560D88-4F45-4BDF-935F-9870D9DF0F2C}" r="G43" connectionId="0">
    <xmlCellPr id="1" xr6:uid="{352DF822-69EF-48D1-955C-AE1524BBAF40}" uniqueName="MacroReturnNumber">
      <xmlPr mapId="1" xpath="/DNSMStocksAndFlows/Flows/MacroReturnNumber" xmlDataType="int"/>
    </xmlCellPr>
  </singleXmlCell>
  <singleXmlCell id="40" xr6:uid="{1A01D9BA-6B02-458B-9393-94746CD15A6F}" r="G44" connectionId="0">
    <xmlCellPr id="1" xr6:uid="{8BCB6C5C-0192-4D2E-95BB-7B3EB79E8241}" uniqueName="FunctionReturnNumber">
      <xmlPr mapId="1" xpath="/DNSMStocksAndFlows/Flows/FunctionReturnNumber" xmlDataType="int"/>
    </xmlCellPr>
  </singleXmlCell>
  <singleXmlCell id="41" xr6:uid="{C517C766-6359-4200-8C33-C68DFC011F51}" r="B24" connectionId="0">
    <xmlCellPr id="1" xr6:uid="{F7EFF94C-DB4A-40C8-A1EB-57C4F9F9FF64}" uniqueName="Handle">
      <xmlPr mapId="1" xpath="/DNSMStocksAndFlows/Orders/@Handle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tableSingleCells" Target="../tables/tableSingleCells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SingleCells" Target="../tables/tableSingleCells2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0F8F4-B944-4338-A791-86E427C9911E}">
  <sheetPr codeName="Sheet1"/>
  <dimension ref="A1:X81"/>
  <sheetViews>
    <sheetView zoomScale="145" zoomScaleNormal="145" workbookViewId="0"/>
  </sheetViews>
  <sheetFormatPr defaultRowHeight="14.5" x14ac:dyDescent="0.35"/>
  <cols>
    <col min="1" max="1" width="15.6328125" bestFit="1" customWidth="1"/>
    <col min="2" max="2" width="13" bestFit="1" customWidth="1"/>
    <col min="3" max="3" width="12.08984375" bestFit="1" customWidth="1"/>
    <col min="4" max="4" width="33.08984375" bestFit="1" customWidth="1"/>
    <col min="5" max="5" width="9" bestFit="1" customWidth="1"/>
    <col min="6" max="6" width="14.26953125" bestFit="1" customWidth="1"/>
    <col min="7" max="7" width="14" bestFit="1" customWidth="1"/>
    <col min="11" max="11" width="12.08984375" bestFit="1" customWidth="1"/>
    <col min="12" max="12" width="9.90625" bestFit="1" customWidth="1"/>
    <col min="13" max="13" width="7.81640625" bestFit="1" customWidth="1"/>
    <col min="15" max="15" width="10.08984375" bestFit="1" customWidth="1"/>
    <col min="16" max="16" width="14.54296875" bestFit="1" customWidth="1"/>
    <col min="17" max="17" width="12.08984375" bestFit="1" customWidth="1"/>
    <col min="18" max="18" width="10.26953125" bestFit="1" customWidth="1"/>
    <col min="19" max="19" width="7.36328125" bestFit="1" customWidth="1"/>
    <col min="20" max="20" width="14.1796875" bestFit="1" customWidth="1"/>
  </cols>
  <sheetData>
    <row r="1" spans="1:20" x14ac:dyDescent="0.35">
      <c r="A1" t="s">
        <v>226</v>
      </c>
    </row>
    <row r="2" spans="1:20" x14ac:dyDescent="0.35">
      <c r="A2" t="s">
        <v>1</v>
      </c>
      <c r="B2" s="1" t="s">
        <v>227</v>
      </c>
      <c r="K2" t="s">
        <v>228</v>
      </c>
    </row>
    <row r="3" spans="1:20" x14ac:dyDescent="0.35">
      <c r="A3" t="s">
        <v>4</v>
      </c>
      <c r="B3" s="1" t="s">
        <v>229</v>
      </c>
      <c r="K3" t="s">
        <v>4</v>
      </c>
      <c r="L3" s="1" t="s">
        <v>230</v>
      </c>
    </row>
    <row r="4" spans="1:20" x14ac:dyDescent="0.35">
      <c r="A4" t="s">
        <v>8</v>
      </c>
      <c r="K4" t="s">
        <v>32</v>
      </c>
      <c r="L4">
        <f>MAX(O6:O14)</f>
        <v>1</v>
      </c>
      <c r="O4" t="s">
        <v>231</v>
      </c>
    </row>
    <row r="5" spans="1:20" x14ac:dyDescent="0.35">
      <c r="A5" s="2" t="s">
        <v>1</v>
      </c>
      <c r="B5" s="2" t="s">
        <v>14</v>
      </c>
      <c r="C5" s="2" t="s">
        <v>18</v>
      </c>
      <c r="K5" t="s">
        <v>8</v>
      </c>
      <c r="O5" s="2" t="s">
        <v>9</v>
      </c>
      <c r="P5" s="2" t="s">
        <v>10</v>
      </c>
      <c r="Q5" s="2" t="s">
        <v>11</v>
      </c>
      <c r="R5" s="2" t="s">
        <v>12</v>
      </c>
      <c r="S5" s="2" t="s">
        <v>14</v>
      </c>
      <c r="T5" s="2" t="s">
        <v>295</v>
      </c>
    </row>
    <row r="6" spans="1:20" x14ac:dyDescent="0.35">
      <c r="A6" s="1" t="s">
        <v>232</v>
      </c>
      <c r="B6" s="1" t="s">
        <v>22</v>
      </c>
      <c r="C6" s="1" t="s">
        <v>230</v>
      </c>
      <c r="K6" s="2" t="s">
        <v>1</v>
      </c>
      <c r="L6" s="2" t="s">
        <v>14</v>
      </c>
      <c r="M6" s="2" t="s">
        <v>18</v>
      </c>
      <c r="O6">
        <f>N(O5)+1</f>
        <v>1</v>
      </c>
      <c r="P6" s="1" t="s">
        <v>233</v>
      </c>
      <c r="Q6" s="1">
        <v>1</v>
      </c>
      <c r="R6" s="1" t="s">
        <v>234</v>
      </c>
      <c r="S6" s="1"/>
      <c r="T6" s="1"/>
    </row>
    <row r="7" spans="1:20" x14ac:dyDescent="0.35">
      <c r="A7" s="1" t="s">
        <v>235</v>
      </c>
      <c r="B7" s="1" t="s">
        <v>22</v>
      </c>
      <c r="C7" s="1" t="s">
        <v>236</v>
      </c>
      <c r="K7" s="1" t="s">
        <v>24</v>
      </c>
      <c r="L7" s="1" t="s">
        <v>22</v>
      </c>
      <c r="M7" s="1" t="s">
        <v>237</v>
      </c>
      <c r="P7" s="1"/>
      <c r="Q7" s="1"/>
      <c r="R7" s="1"/>
    </row>
    <row r="8" spans="1:20" x14ac:dyDescent="0.35">
      <c r="A8" s="1" t="s">
        <v>238</v>
      </c>
      <c r="B8" s="1" t="s">
        <v>22</v>
      </c>
      <c r="C8" s="1" t="s">
        <v>239</v>
      </c>
    </row>
    <row r="10" spans="1:20" x14ac:dyDescent="0.35">
      <c r="A10" s="1"/>
      <c r="B10" s="1"/>
    </row>
    <row r="13" spans="1:20" x14ac:dyDescent="0.35">
      <c r="A13" t="s">
        <v>240</v>
      </c>
    </row>
    <row r="14" spans="1:20" x14ac:dyDescent="0.35">
      <c r="A14" t="s">
        <v>4</v>
      </c>
      <c r="B14" s="1" t="s">
        <v>236</v>
      </c>
      <c r="K14" t="s">
        <v>241</v>
      </c>
    </row>
    <row r="15" spans="1:20" x14ac:dyDescent="0.35">
      <c r="A15" t="s">
        <v>32</v>
      </c>
      <c r="B15">
        <f>MAX(A28:A200)</f>
        <v>27</v>
      </c>
      <c r="K15" t="s">
        <v>4</v>
      </c>
      <c r="L15" s="1" t="s">
        <v>239</v>
      </c>
    </row>
    <row r="16" spans="1:20" x14ac:dyDescent="0.35">
      <c r="A16" t="s">
        <v>242</v>
      </c>
      <c r="B16">
        <v>2</v>
      </c>
      <c r="C16" s="6" t="s">
        <v>243</v>
      </c>
      <c r="D16" s="6"/>
      <c r="K16" t="s">
        <v>32</v>
      </c>
      <c r="L16">
        <f>COUNTA(O18:O27)</f>
        <v>0</v>
      </c>
      <c r="O16" t="s">
        <v>244</v>
      </c>
    </row>
    <row r="17" spans="1:24" x14ac:dyDescent="0.35">
      <c r="A17" t="s">
        <v>245</v>
      </c>
      <c r="B17">
        <v>24</v>
      </c>
      <c r="K17" t="s">
        <v>8</v>
      </c>
      <c r="O17" s="2" t="s">
        <v>9</v>
      </c>
      <c r="P17" s="2" t="s">
        <v>246</v>
      </c>
      <c r="Q17" s="2" t="s">
        <v>247</v>
      </c>
      <c r="R17" s="2" t="s">
        <v>248</v>
      </c>
      <c r="S17" s="2" t="s">
        <v>14</v>
      </c>
    </row>
    <row r="18" spans="1:24" x14ac:dyDescent="0.35">
      <c r="A18" t="s">
        <v>249</v>
      </c>
      <c r="B18">
        <v>0</v>
      </c>
      <c r="K18" s="2" t="s">
        <v>1</v>
      </c>
      <c r="L18" s="2" t="s">
        <v>14</v>
      </c>
      <c r="M18" s="2" t="s">
        <v>18</v>
      </c>
      <c r="S18" s="1"/>
    </row>
    <row r="19" spans="1:24" x14ac:dyDescent="0.35">
      <c r="A19" t="s">
        <v>250</v>
      </c>
      <c r="B19">
        <v>0</v>
      </c>
      <c r="K19" s="1" t="s">
        <v>251</v>
      </c>
      <c r="L19" s="1" t="s">
        <v>22</v>
      </c>
      <c r="M19" s="1" t="s">
        <v>252</v>
      </c>
      <c r="O19" s="2"/>
      <c r="P19" s="2"/>
      <c r="Q19" s="2"/>
      <c r="R19" s="2"/>
      <c r="S19" s="7"/>
    </row>
    <row r="20" spans="1:24" x14ac:dyDescent="0.35">
      <c r="A20" t="s">
        <v>253</v>
      </c>
      <c r="B20">
        <v>0</v>
      </c>
      <c r="S20" s="1"/>
    </row>
    <row r="21" spans="1:24" x14ac:dyDescent="0.35">
      <c r="A21" t="s">
        <v>254</v>
      </c>
      <c r="B21">
        <v>0</v>
      </c>
      <c r="P21" s="1"/>
      <c r="S21" s="1"/>
    </row>
    <row r="22" spans="1:24" x14ac:dyDescent="0.35">
      <c r="A22" t="s">
        <v>8</v>
      </c>
    </row>
    <row r="23" spans="1:24" x14ac:dyDescent="0.35">
      <c r="A23" t="s">
        <v>1</v>
      </c>
      <c r="B23" t="s">
        <v>14</v>
      </c>
      <c r="C23" t="s">
        <v>18</v>
      </c>
    </row>
    <row r="24" spans="1:24" x14ac:dyDescent="0.35">
      <c r="A24" t="s">
        <v>24</v>
      </c>
      <c r="B24" t="s">
        <v>22</v>
      </c>
      <c r="C24" t="s">
        <v>255</v>
      </c>
    </row>
    <row r="25" spans="1:24" x14ac:dyDescent="0.35">
      <c r="A25" t="s">
        <v>256</v>
      </c>
      <c r="B25" t="s">
        <v>22</v>
      </c>
      <c r="C25" t="s">
        <v>257</v>
      </c>
    </row>
    <row r="26" spans="1:24" x14ac:dyDescent="0.35">
      <c r="A26" t="s">
        <v>259</v>
      </c>
      <c r="B26" t="s">
        <v>22</v>
      </c>
      <c r="C26" t="s">
        <v>260</v>
      </c>
    </row>
    <row r="29" spans="1:24" x14ac:dyDescent="0.35">
      <c r="A29" t="s">
        <v>258</v>
      </c>
    </row>
    <row r="30" spans="1:24" x14ac:dyDescent="0.35">
      <c r="A30" s="2" t="s">
        <v>9</v>
      </c>
      <c r="B30" s="2" t="s">
        <v>10</v>
      </c>
      <c r="C30" s="2" t="s">
        <v>11</v>
      </c>
      <c r="D30" s="2" t="s">
        <v>12</v>
      </c>
      <c r="E30" s="2" t="s">
        <v>261</v>
      </c>
      <c r="F30" s="2" t="s">
        <v>14</v>
      </c>
      <c r="G30" s="2" t="s">
        <v>262</v>
      </c>
      <c r="H30" s="2"/>
      <c r="I30" s="2"/>
    </row>
    <row r="31" spans="1:24" x14ac:dyDescent="0.35">
      <c r="A31">
        <f t="shared" ref="A31:A57" si="0">N(A30)+1</f>
        <v>1</v>
      </c>
      <c r="B31" s="10" t="s">
        <v>263</v>
      </c>
      <c r="C31" s="1" t="str">
        <f t="shared" ref="C31:C57" si="1">MID(B31,4,40)</f>
        <v>NULL</v>
      </c>
      <c r="D31" s="1" t="s">
        <v>264</v>
      </c>
      <c r="E31" s="1" t="s">
        <v>265</v>
      </c>
      <c r="F31" s="1" t="s">
        <v>266</v>
      </c>
      <c r="G31">
        <v>0</v>
      </c>
      <c r="H31" s="1"/>
      <c r="I31" s="1"/>
      <c r="K31" s="8"/>
      <c r="O31" s="9"/>
      <c r="P31" s="1"/>
      <c r="Q31" s="1"/>
      <c r="X31" s="1"/>
    </row>
    <row r="32" spans="1:24" x14ac:dyDescent="0.35">
      <c r="A32">
        <f t="shared" si="0"/>
        <v>2</v>
      </c>
      <c r="B32" s="11" t="s">
        <v>267</v>
      </c>
      <c r="C32" s="1" t="str">
        <f t="shared" si="1"/>
        <v>Z</v>
      </c>
      <c r="D32" s="1"/>
      <c r="E32" s="1" t="s">
        <v>268</v>
      </c>
      <c r="F32" s="1" t="s">
        <v>269</v>
      </c>
      <c r="G32">
        <v>0</v>
      </c>
      <c r="H32" s="1"/>
      <c r="I32" s="1"/>
      <c r="K32" s="8"/>
      <c r="O32" s="9"/>
      <c r="P32" s="1"/>
      <c r="Q32" s="1"/>
      <c r="X32" s="1"/>
    </row>
    <row r="33" spans="1:24" x14ac:dyDescent="0.35">
      <c r="A33">
        <f t="shared" si="0"/>
        <v>3</v>
      </c>
      <c r="B33" s="11" t="s">
        <v>270</v>
      </c>
      <c r="C33" s="1" t="str">
        <f t="shared" si="1"/>
        <v>I</v>
      </c>
      <c r="D33" s="1"/>
      <c r="E33" s="1" t="s">
        <v>268</v>
      </c>
      <c r="F33" s="1" t="s">
        <v>269</v>
      </c>
      <c r="G33">
        <v>0</v>
      </c>
      <c r="H33" s="1"/>
      <c r="I33" s="1"/>
      <c r="K33" s="8"/>
      <c r="O33" s="9"/>
      <c r="P33" s="1"/>
      <c r="Q33" s="1"/>
      <c r="X33" s="1"/>
    </row>
    <row r="34" spans="1:24" x14ac:dyDescent="0.35">
      <c r="A34">
        <f t="shared" si="0"/>
        <v>4</v>
      </c>
      <c r="B34" s="11" t="s">
        <v>271</v>
      </c>
      <c r="C34" s="1" t="str">
        <f t="shared" si="1"/>
        <v>D0</v>
      </c>
      <c r="D34" s="1"/>
      <c r="E34" s="1" t="s">
        <v>268</v>
      </c>
      <c r="F34" s="1" t="s">
        <v>269</v>
      </c>
      <c r="G34">
        <v>0</v>
      </c>
      <c r="H34" s="1"/>
      <c r="I34" s="1"/>
      <c r="K34" s="8"/>
      <c r="O34" s="9"/>
      <c r="P34" s="1"/>
      <c r="Q34" s="1"/>
      <c r="X34" s="1"/>
    </row>
    <row r="35" spans="1:24" x14ac:dyDescent="0.35">
      <c r="A35">
        <f t="shared" si="0"/>
        <v>5</v>
      </c>
      <c r="B35" s="11" t="s">
        <v>272</v>
      </c>
      <c r="C35" s="1" t="str">
        <f t="shared" si="1"/>
        <v>D1</v>
      </c>
      <c r="D35" s="1"/>
      <c r="E35" s="1" t="s">
        <v>268</v>
      </c>
      <c r="F35" s="1" t="s">
        <v>269</v>
      </c>
      <c r="G35">
        <v>1</v>
      </c>
      <c r="H35" s="1"/>
      <c r="I35" s="1"/>
      <c r="K35" s="8"/>
      <c r="O35" s="9"/>
      <c r="P35" s="1"/>
      <c r="Q35" s="1"/>
      <c r="X35" s="1"/>
    </row>
    <row r="36" spans="1:24" x14ac:dyDescent="0.35">
      <c r="A36">
        <f t="shared" si="0"/>
        <v>6</v>
      </c>
      <c r="B36" s="11" t="s">
        <v>273</v>
      </c>
      <c r="C36" s="1" t="str">
        <f t="shared" si="1"/>
        <v>D2</v>
      </c>
      <c r="D36" s="1"/>
      <c r="E36" s="1" t="s">
        <v>268</v>
      </c>
      <c r="F36" s="1" t="s">
        <v>269</v>
      </c>
      <c r="G36">
        <v>2</v>
      </c>
      <c r="H36" s="1"/>
      <c r="I36" s="1"/>
      <c r="K36" s="8"/>
      <c r="O36" s="9"/>
      <c r="P36" s="1"/>
      <c r="Q36" s="1"/>
      <c r="X36" s="1"/>
    </row>
    <row r="37" spans="1:24" x14ac:dyDescent="0.35">
      <c r="A37">
        <f t="shared" si="0"/>
        <v>7</v>
      </c>
      <c r="B37" s="11" t="s">
        <v>274</v>
      </c>
      <c r="C37" s="1" t="str">
        <f t="shared" si="1"/>
        <v>D3</v>
      </c>
      <c r="D37" s="1"/>
      <c r="E37" s="1" t="s">
        <v>268</v>
      </c>
      <c r="F37" s="1" t="s">
        <v>269</v>
      </c>
      <c r="G37">
        <v>3</v>
      </c>
      <c r="H37" s="1"/>
      <c r="I37" s="1"/>
      <c r="K37" s="8"/>
      <c r="O37" s="9"/>
      <c r="P37" s="1"/>
      <c r="Q37" s="1"/>
      <c r="X37" s="1"/>
    </row>
    <row r="38" spans="1:24" x14ac:dyDescent="0.35">
      <c r="A38">
        <f t="shared" si="0"/>
        <v>8</v>
      </c>
      <c r="B38" s="11" t="s">
        <v>275</v>
      </c>
      <c r="C38" s="1" t="str">
        <f t="shared" si="1"/>
        <v>D4</v>
      </c>
      <c r="D38" s="1"/>
      <c r="E38" s="1" t="s">
        <v>268</v>
      </c>
      <c r="F38" s="1" t="s">
        <v>269</v>
      </c>
      <c r="G38">
        <v>4</v>
      </c>
      <c r="H38" s="1"/>
      <c r="I38" s="1"/>
      <c r="K38" s="8"/>
      <c r="O38" s="9"/>
      <c r="P38" s="1"/>
      <c r="Q38" s="1"/>
      <c r="X38" s="1"/>
    </row>
    <row r="39" spans="1:24" x14ac:dyDescent="0.35">
      <c r="A39">
        <f t="shared" si="0"/>
        <v>9</v>
      </c>
      <c r="B39" s="11" t="s">
        <v>276</v>
      </c>
      <c r="C39" s="1" t="str">
        <f t="shared" si="1"/>
        <v>D5</v>
      </c>
      <c r="D39" s="1"/>
      <c r="E39" s="1" t="s">
        <v>268</v>
      </c>
      <c r="F39" s="1" t="s">
        <v>269</v>
      </c>
      <c r="G39">
        <v>5</v>
      </c>
      <c r="H39" s="1"/>
      <c r="I39" s="1"/>
      <c r="K39" s="8"/>
      <c r="O39" s="9"/>
      <c r="P39" s="1"/>
      <c r="Q39" s="1"/>
      <c r="X39" s="1"/>
    </row>
    <row r="40" spans="1:24" x14ac:dyDescent="0.35">
      <c r="A40">
        <f t="shared" si="0"/>
        <v>10</v>
      </c>
      <c r="B40" s="11" t="s">
        <v>277</v>
      </c>
      <c r="C40" s="1" t="str">
        <f t="shared" si="1"/>
        <v>D6</v>
      </c>
      <c r="D40" s="1"/>
      <c r="E40" s="1" t="s">
        <v>268</v>
      </c>
      <c r="F40" s="1" t="s">
        <v>269</v>
      </c>
      <c r="G40">
        <v>6</v>
      </c>
      <c r="H40" s="1"/>
      <c r="I40" s="1"/>
      <c r="K40" s="8"/>
      <c r="O40" s="9"/>
      <c r="P40" s="1"/>
      <c r="Q40" s="1"/>
      <c r="X40" s="1"/>
    </row>
    <row r="41" spans="1:24" x14ac:dyDescent="0.35">
      <c r="A41">
        <f t="shared" si="0"/>
        <v>11</v>
      </c>
      <c r="B41" s="11" t="s">
        <v>278</v>
      </c>
      <c r="C41" s="1" t="str">
        <f t="shared" si="1"/>
        <v>B0</v>
      </c>
      <c r="D41" s="1"/>
      <c r="E41" s="1" t="s">
        <v>268</v>
      </c>
      <c r="F41" s="1" t="s">
        <v>269</v>
      </c>
      <c r="G41">
        <v>0</v>
      </c>
      <c r="H41" s="1"/>
      <c r="I41" s="1"/>
      <c r="K41" s="8"/>
      <c r="O41" s="9"/>
      <c r="P41" s="1"/>
      <c r="Q41" s="1"/>
      <c r="X41" s="1"/>
    </row>
    <row r="42" spans="1:24" x14ac:dyDescent="0.35">
      <c r="A42">
        <f t="shared" si="0"/>
        <v>12</v>
      </c>
      <c r="B42" s="11" t="s">
        <v>279</v>
      </c>
      <c r="C42" s="1" t="str">
        <f t="shared" si="1"/>
        <v>B1</v>
      </c>
      <c r="D42" s="1"/>
      <c r="E42" s="1" t="s">
        <v>268</v>
      </c>
      <c r="F42" s="1" t="s">
        <v>269</v>
      </c>
      <c r="G42">
        <v>1</v>
      </c>
      <c r="H42" s="1"/>
      <c r="I42" s="1"/>
      <c r="K42" s="8"/>
      <c r="O42" s="9"/>
      <c r="P42" s="1"/>
      <c r="Q42" s="1"/>
      <c r="X42" s="1"/>
    </row>
    <row r="43" spans="1:24" x14ac:dyDescent="0.35">
      <c r="A43">
        <f t="shared" si="0"/>
        <v>13</v>
      </c>
      <c r="B43" s="11" t="s">
        <v>280</v>
      </c>
      <c r="C43" s="1" t="str">
        <f t="shared" si="1"/>
        <v>B2</v>
      </c>
      <c r="D43" s="1"/>
      <c r="E43" s="1" t="s">
        <v>268</v>
      </c>
      <c r="F43" s="1" t="s">
        <v>269</v>
      </c>
      <c r="G43">
        <v>2</v>
      </c>
      <c r="H43" s="1"/>
      <c r="I43" s="1"/>
      <c r="K43" s="8"/>
      <c r="O43" s="9"/>
      <c r="P43" s="1"/>
      <c r="Q43" s="1"/>
      <c r="X43" s="1"/>
    </row>
    <row r="44" spans="1:24" x14ac:dyDescent="0.35">
      <c r="A44">
        <f t="shared" si="0"/>
        <v>14</v>
      </c>
      <c r="B44" s="11" t="s">
        <v>281</v>
      </c>
      <c r="C44" s="1" t="str">
        <f t="shared" si="1"/>
        <v>B3</v>
      </c>
      <c r="D44" s="1"/>
      <c r="E44" s="1" t="s">
        <v>268</v>
      </c>
      <c r="F44" s="1" t="s">
        <v>269</v>
      </c>
      <c r="G44">
        <v>3</v>
      </c>
      <c r="H44" s="1"/>
      <c r="I44" s="1"/>
      <c r="K44" s="8"/>
      <c r="O44" s="9"/>
      <c r="P44" s="1"/>
      <c r="Q44" s="1"/>
      <c r="X44" s="1"/>
    </row>
    <row r="45" spans="1:24" x14ac:dyDescent="0.35">
      <c r="A45">
        <f t="shared" si="0"/>
        <v>15</v>
      </c>
      <c r="B45" s="11" t="s">
        <v>282</v>
      </c>
      <c r="C45" s="1" t="str">
        <f t="shared" si="1"/>
        <v>B4</v>
      </c>
      <c r="D45" s="1"/>
      <c r="E45" s="1" t="s">
        <v>268</v>
      </c>
      <c r="F45" s="1" t="s">
        <v>269</v>
      </c>
      <c r="G45">
        <v>4</v>
      </c>
      <c r="H45" s="1"/>
      <c r="I45" s="1"/>
      <c r="K45" s="8"/>
      <c r="O45" s="9"/>
      <c r="P45" s="1"/>
      <c r="Q45" s="1"/>
      <c r="X45" s="1"/>
    </row>
    <row r="46" spans="1:24" x14ac:dyDescent="0.35">
      <c r="A46">
        <f t="shared" si="0"/>
        <v>16</v>
      </c>
      <c r="B46" s="11" t="s">
        <v>283</v>
      </c>
      <c r="C46" s="1" t="str">
        <f t="shared" si="1"/>
        <v>B5</v>
      </c>
      <c r="D46" s="1"/>
      <c r="E46" s="1" t="s">
        <v>268</v>
      </c>
      <c r="F46" s="1" t="s">
        <v>269</v>
      </c>
      <c r="G46">
        <v>5</v>
      </c>
      <c r="H46" s="1"/>
      <c r="I46" s="1"/>
      <c r="K46" s="8"/>
      <c r="O46" s="9"/>
      <c r="P46" s="1"/>
      <c r="Q46" s="1"/>
      <c r="X46" s="1"/>
    </row>
    <row r="47" spans="1:24" x14ac:dyDescent="0.35">
      <c r="A47">
        <f t="shared" si="0"/>
        <v>17</v>
      </c>
      <c r="B47" s="11" t="s">
        <v>284</v>
      </c>
      <c r="C47" s="1" t="str">
        <f t="shared" si="1"/>
        <v>B6</v>
      </c>
      <c r="D47" s="1"/>
      <c r="E47" s="1" t="s">
        <v>268</v>
      </c>
      <c r="F47" s="1" t="s">
        <v>269</v>
      </c>
      <c r="G47">
        <v>6</v>
      </c>
      <c r="H47" s="1"/>
      <c r="I47" s="1"/>
      <c r="K47" s="8"/>
      <c r="O47" s="9"/>
      <c r="P47" s="1"/>
      <c r="Q47" s="1"/>
      <c r="X47" s="1"/>
    </row>
    <row r="48" spans="1:24" x14ac:dyDescent="0.35">
      <c r="A48">
        <f t="shared" si="0"/>
        <v>18</v>
      </c>
      <c r="B48" s="11" t="s">
        <v>285</v>
      </c>
      <c r="C48" s="1" t="str">
        <f t="shared" si="1"/>
        <v>C0</v>
      </c>
      <c r="D48" s="1"/>
      <c r="E48" s="1" t="s">
        <v>268</v>
      </c>
      <c r="F48" s="1" t="s">
        <v>269</v>
      </c>
      <c r="G48">
        <v>0</v>
      </c>
      <c r="H48" s="1"/>
      <c r="I48" s="1"/>
      <c r="O48" s="9"/>
      <c r="P48" s="1"/>
      <c r="Q48" s="1"/>
      <c r="X48" s="1"/>
    </row>
    <row r="49" spans="1:24" x14ac:dyDescent="0.35">
      <c r="A49">
        <f t="shared" si="0"/>
        <v>19</v>
      </c>
      <c r="B49" s="11" t="s">
        <v>286</v>
      </c>
      <c r="C49" s="1" t="str">
        <f t="shared" si="1"/>
        <v>C1</v>
      </c>
      <c r="D49" s="1"/>
      <c r="E49" s="1" t="s">
        <v>268</v>
      </c>
      <c r="F49" s="1" t="s">
        <v>269</v>
      </c>
      <c r="G49">
        <v>1</v>
      </c>
      <c r="H49" s="1"/>
      <c r="I49" s="1"/>
      <c r="O49" s="9"/>
      <c r="P49" s="1"/>
      <c r="Q49" s="1"/>
      <c r="X49" s="1"/>
    </row>
    <row r="50" spans="1:24" x14ac:dyDescent="0.35">
      <c r="A50">
        <f t="shared" si="0"/>
        <v>20</v>
      </c>
      <c r="B50" s="11" t="s">
        <v>287</v>
      </c>
      <c r="C50" s="1" t="str">
        <f t="shared" si="1"/>
        <v>C2</v>
      </c>
      <c r="D50" s="1"/>
      <c r="E50" s="1" t="s">
        <v>268</v>
      </c>
      <c r="F50" s="1" t="s">
        <v>269</v>
      </c>
      <c r="G50">
        <v>2</v>
      </c>
      <c r="H50" s="1"/>
      <c r="I50" s="1"/>
      <c r="O50" s="9"/>
      <c r="P50" s="1"/>
      <c r="Q50" s="1"/>
      <c r="X50" s="1"/>
    </row>
    <row r="51" spans="1:24" x14ac:dyDescent="0.35">
      <c r="A51">
        <f t="shared" si="0"/>
        <v>21</v>
      </c>
      <c r="B51" s="11" t="s">
        <v>288</v>
      </c>
      <c r="C51" s="1" t="str">
        <f t="shared" si="1"/>
        <v>C3</v>
      </c>
      <c r="D51" s="1"/>
      <c r="E51" s="1" t="s">
        <v>268</v>
      </c>
      <c r="F51" s="1" t="s">
        <v>269</v>
      </c>
      <c r="G51">
        <v>3</v>
      </c>
      <c r="H51" s="1"/>
      <c r="I51" s="1"/>
      <c r="O51" s="9"/>
      <c r="P51" s="1"/>
      <c r="Q51" s="1"/>
      <c r="X51" s="1"/>
    </row>
    <row r="52" spans="1:24" x14ac:dyDescent="0.35">
      <c r="A52">
        <f t="shared" si="0"/>
        <v>22</v>
      </c>
      <c r="B52" s="11" t="s">
        <v>289</v>
      </c>
      <c r="C52" s="1" t="str">
        <f t="shared" si="1"/>
        <v>C4</v>
      </c>
      <c r="D52" s="1"/>
      <c r="E52" s="1" t="s">
        <v>268</v>
      </c>
      <c r="F52" s="1" t="s">
        <v>269</v>
      </c>
      <c r="G52">
        <v>4</v>
      </c>
      <c r="H52" s="1"/>
      <c r="I52" s="1"/>
      <c r="O52" s="9"/>
      <c r="P52" s="1"/>
      <c r="Q52" s="1"/>
      <c r="X52" s="1"/>
    </row>
    <row r="53" spans="1:24" x14ac:dyDescent="0.35">
      <c r="A53">
        <f t="shared" si="0"/>
        <v>23</v>
      </c>
      <c r="B53" s="11" t="s">
        <v>290</v>
      </c>
      <c r="C53" s="1" t="str">
        <f t="shared" si="1"/>
        <v>C5</v>
      </c>
      <c r="D53" s="1"/>
      <c r="E53" s="1" t="s">
        <v>268</v>
      </c>
      <c r="F53" s="1" t="s">
        <v>269</v>
      </c>
      <c r="G53">
        <v>5</v>
      </c>
      <c r="H53" s="1"/>
      <c r="I53" s="1"/>
      <c r="O53" s="9"/>
      <c r="P53" s="1"/>
      <c r="Q53" s="1"/>
      <c r="X53" s="1"/>
    </row>
    <row r="54" spans="1:24" x14ac:dyDescent="0.35">
      <c r="A54">
        <f t="shared" si="0"/>
        <v>24</v>
      </c>
      <c r="B54" s="11" t="s">
        <v>291</v>
      </c>
      <c r="C54" s="1" t="str">
        <f t="shared" si="1"/>
        <v>C6</v>
      </c>
      <c r="D54" s="1"/>
      <c r="E54" s="1" t="s">
        <v>268</v>
      </c>
      <c r="F54" s="1" t="s">
        <v>269</v>
      </c>
      <c r="G54">
        <v>6</v>
      </c>
      <c r="H54" s="1"/>
      <c r="I54" s="1"/>
      <c r="O54" s="9"/>
      <c r="P54" s="1"/>
      <c r="Q54" s="1"/>
      <c r="X54" s="1"/>
    </row>
    <row r="55" spans="1:24" x14ac:dyDescent="0.35">
      <c r="A55">
        <f t="shared" si="0"/>
        <v>25</v>
      </c>
      <c r="B55" s="11" t="s">
        <v>292</v>
      </c>
      <c r="C55" s="1" t="str">
        <f t="shared" si="1"/>
        <v>DC</v>
      </c>
      <c r="D55" s="1"/>
      <c r="E55" s="1" t="s">
        <v>268</v>
      </c>
      <c r="F55" s="1" t="s">
        <v>269</v>
      </c>
      <c r="G55">
        <v>30</v>
      </c>
      <c r="H55" s="1"/>
      <c r="I55" s="1"/>
      <c r="O55" s="9"/>
      <c r="P55" s="1"/>
      <c r="Q55" s="1"/>
      <c r="X55" s="1"/>
    </row>
    <row r="56" spans="1:24" x14ac:dyDescent="0.35">
      <c r="A56">
        <f t="shared" si="0"/>
        <v>26</v>
      </c>
      <c r="B56" s="11" t="s">
        <v>293</v>
      </c>
      <c r="C56" s="1" t="str">
        <f t="shared" si="1"/>
        <v>P</v>
      </c>
      <c r="D56" s="1"/>
      <c r="E56" s="1" t="s">
        <v>268</v>
      </c>
      <c r="F56" s="1" t="s">
        <v>269</v>
      </c>
      <c r="G56">
        <v>30</v>
      </c>
      <c r="H56" s="1"/>
      <c r="I56" s="1"/>
      <c r="X56" s="1"/>
    </row>
    <row r="57" spans="1:24" x14ac:dyDescent="0.35">
      <c r="A57">
        <f t="shared" si="0"/>
        <v>27</v>
      </c>
      <c r="B57" s="11" t="s">
        <v>294</v>
      </c>
      <c r="C57" s="1" t="str">
        <f t="shared" si="1"/>
        <v>X</v>
      </c>
      <c r="D57" s="1"/>
      <c r="E57" s="1" t="s">
        <v>268</v>
      </c>
      <c r="F57" s="1" t="s">
        <v>269</v>
      </c>
      <c r="G57">
        <v>30</v>
      </c>
      <c r="H57" s="1"/>
      <c r="I57" s="1"/>
      <c r="X57" s="1"/>
    </row>
    <row r="58" spans="1:24" x14ac:dyDescent="0.35">
      <c r="B58" s="8"/>
      <c r="C58" s="1"/>
      <c r="E58" s="1"/>
      <c r="F58" s="1"/>
      <c r="H58" s="1"/>
      <c r="I58" s="1"/>
      <c r="X58" s="1"/>
    </row>
    <row r="59" spans="1:24" x14ac:dyDescent="0.35">
      <c r="B59" s="8"/>
      <c r="C59" s="1"/>
      <c r="E59" s="1"/>
      <c r="F59" s="1"/>
      <c r="H59" s="1"/>
      <c r="I59" s="1"/>
      <c r="X59" s="1"/>
    </row>
    <row r="60" spans="1:24" x14ac:dyDescent="0.35">
      <c r="B60" s="8"/>
      <c r="C60" s="1"/>
      <c r="E60" s="1"/>
      <c r="F60" s="1"/>
      <c r="H60" s="1"/>
      <c r="I60" s="1"/>
      <c r="X60" s="1"/>
    </row>
    <row r="61" spans="1:24" x14ac:dyDescent="0.35">
      <c r="B61" s="8"/>
      <c r="C61" s="1"/>
      <c r="E61" s="1"/>
      <c r="F61" s="1"/>
      <c r="H61" s="1"/>
      <c r="I61" s="1"/>
      <c r="X61" s="1"/>
    </row>
    <row r="62" spans="1:24" x14ac:dyDescent="0.35">
      <c r="B62" s="8"/>
      <c r="C62" s="1"/>
      <c r="E62" s="1"/>
      <c r="F62" s="1"/>
      <c r="H62" s="1"/>
      <c r="I62" s="1"/>
      <c r="X62" s="1"/>
    </row>
    <row r="63" spans="1:24" x14ac:dyDescent="0.35">
      <c r="B63" s="8"/>
      <c r="C63" s="1"/>
      <c r="E63" s="1"/>
      <c r="F63" s="1"/>
      <c r="H63" s="1"/>
      <c r="I63" s="1"/>
      <c r="X63" s="1"/>
    </row>
    <row r="64" spans="1:24" x14ac:dyDescent="0.35">
      <c r="B64" s="8"/>
      <c r="C64" s="1"/>
      <c r="E64" s="1"/>
      <c r="F64" s="1"/>
      <c r="H64" s="1"/>
      <c r="I64" s="1"/>
      <c r="X64" s="1"/>
    </row>
    <row r="65" spans="1:24" x14ac:dyDescent="0.35">
      <c r="B65" s="8"/>
      <c r="C65" s="1"/>
      <c r="E65" s="1"/>
      <c r="F65" s="1"/>
      <c r="H65" s="1"/>
      <c r="I65" s="1"/>
      <c r="X65" s="1"/>
    </row>
    <row r="66" spans="1:24" x14ac:dyDescent="0.35">
      <c r="B66" s="8"/>
      <c r="C66" s="1"/>
      <c r="E66" s="1"/>
      <c r="F66" s="1"/>
      <c r="H66" s="1"/>
      <c r="I66" s="1"/>
      <c r="X66" s="1"/>
    </row>
    <row r="67" spans="1:24" x14ac:dyDescent="0.35">
      <c r="B67" s="8"/>
      <c r="C67" s="1"/>
      <c r="E67" s="1"/>
      <c r="F67" s="1"/>
      <c r="H67" s="1"/>
      <c r="I67" s="1"/>
      <c r="X67" s="1"/>
    </row>
    <row r="68" spans="1:24" x14ac:dyDescent="0.35">
      <c r="B68" s="8"/>
      <c r="C68" s="1"/>
      <c r="E68" s="1"/>
      <c r="F68" s="1"/>
      <c r="H68" s="1"/>
      <c r="I68" s="1"/>
      <c r="X68" s="1"/>
    </row>
    <row r="69" spans="1:24" x14ac:dyDescent="0.35">
      <c r="B69" s="8"/>
      <c r="C69" s="1"/>
      <c r="E69" s="1"/>
      <c r="F69" s="1"/>
      <c r="H69" s="1"/>
      <c r="I69" s="1"/>
      <c r="X69" s="1"/>
    </row>
    <row r="70" spans="1:24" x14ac:dyDescent="0.35">
      <c r="B70" s="8"/>
      <c r="C70" s="1"/>
      <c r="E70" s="1"/>
      <c r="F70" s="1"/>
      <c r="H70" s="1"/>
      <c r="I70" s="1"/>
      <c r="X70" s="1"/>
    </row>
    <row r="71" spans="1:24" x14ac:dyDescent="0.35">
      <c r="B71" s="8"/>
      <c r="C71" s="1"/>
      <c r="E71" s="1"/>
      <c r="F71" s="1"/>
      <c r="H71" s="1"/>
      <c r="I71" s="1"/>
      <c r="X71" s="1"/>
    </row>
    <row r="72" spans="1:24" x14ac:dyDescent="0.35">
      <c r="B72" s="9"/>
      <c r="C72" s="1"/>
      <c r="E72" s="1"/>
      <c r="F72" s="1"/>
      <c r="H72" s="1"/>
      <c r="I72" s="1"/>
      <c r="X72" s="1"/>
    </row>
    <row r="73" spans="1:24" x14ac:dyDescent="0.35">
      <c r="B73" s="9"/>
      <c r="C73" s="1"/>
      <c r="E73" s="1"/>
      <c r="F73" s="1"/>
      <c r="H73" s="1"/>
      <c r="I73" s="1"/>
      <c r="X73" s="1"/>
    </row>
    <row r="74" spans="1:24" x14ac:dyDescent="0.35">
      <c r="B74" s="9"/>
      <c r="C74" s="1"/>
      <c r="E74" s="1"/>
      <c r="F74" s="1"/>
      <c r="H74" s="1"/>
      <c r="I74" s="1"/>
      <c r="X74" s="1"/>
    </row>
    <row r="75" spans="1:24" x14ac:dyDescent="0.35">
      <c r="B75" s="9"/>
      <c r="C75" s="1"/>
      <c r="E75" s="1"/>
      <c r="F75" s="1"/>
      <c r="H75" s="1"/>
      <c r="I75" s="1"/>
      <c r="X75" s="1"/>
    </row>
    <row r="76" spans="1:24" x14ac:dyDescent="0.35">
      <c r="C76" s="1"/>
      <c r="E76" s="1"/>
      <c r="F76" s="1"/>
    </row>
    <row r="77" spans="1:24" x14ac:dyDescent="0.35">
      <c r="C77" s="1"/>
      <c r="E77" s="1"/>
      <c r="F77" s="1"/>
    </row>
    <row r="80" spans="1:24" x14ac:dyDescent="0.35">
      <c r="A80" t="s">
        <v>225</v>
      </c>
      <c r="V80" t="s">
        <v>225</v>
      </c>
    </row>
    <row r="81" spans="1:22" x14ac:dyDescent="0.35">
      <c r="A81" s="5">
        <f t="array" ref="A81:V81">0</f>
        <v>0</v>
      </c>
      <c r="B81" s="5">
        <v>0</v>
      </c>
      <c r="C81" s="5">
        <v>0</v>
      </c>
      <c r="D81" s="5">
        <v>0</v>
      </c>
      <c r="E81" s="5"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</row>
  </sheetData>
  <mergeCells count="1">
    <mergeCell ref="C16:D16"/>
  </mergeCells>
  <pageMargins left="0.7" right="0.7" top="0.75" bottom="0.75" header="0.3" footer="0.3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B95B9-B1A2-44A9-900B-2CD3CC3EFE3C}">
  <sheetPr codeName="Sheet2"/>
  <dimension ref="A1:AT71"/>
  <sheetViews>
    <sheetView tabSelected="1" workbookViewId="0"/>
  </sheetViews>
  <sheetFormatPr defaultRowHeight="14.5" x14ac:dyDescent="0.35"/>
  <cols>
    <col min="1" max="1" width="12.453125" bestFit="1" customWidth="1"/>
    <col min="2" max="2" width="16.81640625" bestFit="1" customWidth="1"/>
    <col min="3" max="3" width="11.36328125" bestFit="1" customWidth="1"/>
    <col min="4" max="4" width="14.36328125" bestFit="1" customWidth="1"/>
    <col min="6" max="6" width="12.08984375" bestFit="1" customWidth="1"/>
    <col min="7" max="7" width="9" bestFit="1" customWidth="1"/>
    <col min="8" max="8" width="7.81640625" bestFit="1" customWidth="1"/>
    <col min="10" max="10" width="10.08984375" bestFit="1" customWidth="1"/>
    <col min="11" max="11" width="13" bestFit="1" customWidth="1"/>
    <col min="12" max="12" width="12.08984375" bestFit="1" customWidth="1"/>
    <col min="13" max="13" width="68.453125" bestFit="1" customWidth="1"/>
    <col min="14" max="14" width="16.453125" bestFit="1" customWidth="1"/>
    <col min="15" max="15" width="11.1796875" bestFit="1" customWidth="1"/>
    <col min="16" max="16" width="26.81640625" bestFit="1" customWidth="1"/>
    <col min="17" max="17" width="17.36328125" bestFit="1" customWidth="1"/>
    <col min="18" max="18" width="23.54296875" bestFit="1" customWidth="1"/>
    <col min="19" max="20" width="11.1796875" bestFit="1" customWidth="1"/>
    <col min="21" max="22" width="17.26953125" bestFit="1" customWidth="1"/>
    <col min="23" max="23" width="15.36328125" bestFit="1" customWidth="1"/>
    <col min="24" max="25" width="19.81640625" bestFit="1" customWidth="1"/>
    <col min="26" max="26" width="17.08984375" bestFit="1" customWidth="1"/>
    <col min="27" max="27" width="15.36328125" bestFit="1" customWidth="1"/>
    <col min="28" max="29" width="19.81640625" bestFit="1" customWidth="1"/>
    <col min="30" max="30" width="17.08984375" bestFit="1" customWidth="1"/>
    <col min="31" max="31" width="15.36328125" bestFit="1" customWidth="1"/>
    <col min="32" max="33" width="19.81640625" bestFit="1" customWidth="1"/>
    <col min="34" max="34" width="17.08984375" bestFit="1" customWidth="1"/>
    <col min="35" max="35" width="15.36328125" bestFit="1" customWidth="1"/>
    <col min="36" max="37" width="19.81640625" bestFit="1" customWidth="1"/>
    <col min="38" max="38" width="17.08984375" bestFit="1" customWidth="1"/>
    <col min="39" max="39" width="15.36328125" bestFit="1" customWidth="1"/>
    <col min="40" max="41" width="19.81640625" bestFit="1" customWidth="1"/>
    <col min="42" max="42" width="17.08984375" bestFit="1" customWidth="1"/>
    <col min="43" max="43" width="15.36328125" bestFit="1" customWidth="1"/>
    <col min="44" max="45" width="19.81640625" bestFit="1" customWidth="1"/>
    <col min="46" max="46" width="17.08984375" bestFit="1" customWidth="1"/>
  </cols>
  <sheetData>
    <row r="1" spans="1:46" x14ac:dyDescent="0.35">
      <c r="A1" t="s">
        <v>0</v>
      </c>
    </row>
    <row r="2" spans="1:46" x14ac:dyDescent="0.35">
      <c r="A2" t="s">
        <v>1</v>
      </c>
      <c r="B2" s="1" t="s">
        <v>2</v>
      </c>
      <c r="F2" t="s">
        <v>3</v>
      </c>
    </row>
    <row r="3" spans="1:46" x14ac:dyDescent="0.35">
      <c r="A3" t="s">
        <v>4</v>
      </c>
      <c r="B3" s="1" t="s">
        <v>5</v>
      </c>
      <c r="F3" t="s">
        <v>4</v>
      </c>
      <c r="G3" s="1" t="s">
        <v>6</v>
      </c>
      <c r="J3" t="s">
        <v>7</v>
      </c>
    </row>
    <row r="4" spans="1:46" x14ac:dyDescent="0.35">
      <c r="A4" t="s">
        <v>8</v>
      </c>
      <c r="E4" s="2"/>
      <c r="F4" t="s">
        <v>8</v>
      </c>
      <c r="J4" s="2" t="s">
        <v>9</v>
      </c>
      <c r="K4" s="2" t="s">
        <v>10</v>
      </c>
      <c r="L4" s="2" t="s">
        <v>11</v>
      </c>
      <c r="M4" s="2" t="s">
        <v>12</v>
      </c>
      <c r="N4" s="2" t="s">
        <v>13</v>
      </c>
      <c r="O4" s="2" t="s">
        <v>14</v>
      </c>
      <c r="P4" s="2" t="s">
        <v>15</v>
      </c>
      <c r="Q4" s="2" t="s">
        <v>16</v>
      </c>
      <c r="R4" s="2" t="s">
        <v>17</v>
      </c>
    </row>
    <row r="5" spans="1:46" x14ac:dyDescent="0.35">
      <c r="A5" s="2" t="s">
        <v>1</v>
      </c>
      <c r="B5" s="2" t="s">
        <v>14</v>
      </c>
      <c r="C5" s="2" t="s">
        <v>18</v>
      </c>
      <c r="F5" s="2" t="s">
        <v>1</v>
      </c>
      <c r="G5" s="2" t="s">
        <v>14</v>
      </c>
      <c r="H5" s="2" t="s">
        <v>18</v>
      </c>
      <c r="J5">
        <f>N(J4)+1</f>
        <v>1</v>
      </c>
      <c r="K5" s="1" t="s">
        <v>7</v>
      </c>
      <c r="L5" s="1" t="s">
        <v>7</v>
      </c>
      <c r="M5" s="1" t="s">
        <v>7</v>
      </c>
      <c r="N5" s="1" t="s">
        <v>19</v>
      </c>
      <c r="O5" s="1" t="s">
        <v>20</v>
      </c>
      <c r="P5">
        <v>1</v>
      </c>
      <c r="Q5">
        <v>0</v>
      </c>
      <c r="R5">
        <v>0.4</v>
      </c>
    </row>
    <row r="6" spans="1:46" x14ac:dyDescent="0.35">
      <c r="A6" s="1" t="s">
        <v>21</v>
      </c>
      <c r="B6" s="1" t="s">
        <v>22</v>
      </c>
      <c r="C6" s="1" t="s">
        <v>23</v>
      </c>
      <c r="F6" s="1" t="s">
        <v>24</v>
      </c>
      <c r="G6" s="1" t="s">
        <v>22</v>
      </c>
      <c r="H6" s="1" t="s">
        <v>25</v>
      </c>
    </row>
    <row r="7" spans="1:46" x14ac:dyDescent="0.35">
      <c r="A7" s="1" t="s">
        <v>26</v>
      </c>
      <c r="B7" s="1" t="s">
        <v>22</v>
      </c>
      <c r="C7" s="1" t="s">
        <v>27</v>
      </c>
    </row>
    <row r="8" spans="1:46" x14ac:dyDescent="0.35">
      <c r="A8" s="1" t="s">
        <v>28</v>
      </c>
      <c r="B8" s="1" t="s">
        <v>22</v>
      </c>
      <c r="C8" s="1" t="s">
        <v>29</v>
      </c>
    </row>
    <row r="10" spans="1:46" x14ac:dyDescent="0.35">
      <c r="A10" s="1"/>
      <c r="B10" s="1"/>
      <c r="C10" s="1"/>
    </row>
    <row r="11" spans="1:46" x14ac:dyDescent="0.35">
      <c r="A11" s="1"/>
      <c r="B11" s="1"/>
      <c r="C11" s="1"/>
      <c r="F11" t="s">
        <v>30</v>
      </c>
      <c r="U11" s="1"/>
    </row>
    <row r="12" spans="1:46" x14ac:dyDescent="0.35">
      <c r="A12" s="1"/>
      <c r="B12" s="1"/>
      <c r="C12" s="1"/>
      <c r="F12" t="s">
        <v>4</v>
      </c>
      <c r="G12" s="1" t="s">
        <v>23</v>
      </c>
      <c r="J12" t="s">
        <v>31</v>
      </c>
    </row>
    <row r="13" spans="1:46" x14ac:dyDescent="0.35">
      <c r="A13" s="1"/>
      <c r="B13" s="1"/>
      <c r="C13" s="1"/>
      <c r="F13" s="1" t="s">
        <v>32</v>
      </c>
      <c r="G13">
        <f>COUNTA(J14:J36)</f>
        <v>16</v>
      </c>
      <c r="J13" s="2" t="s">
        <v>9</v>
      </c>
      <c r="K13" s="2" t="s">
        <v>10</v>
      </c>
      <c r="L13" s="2" t="s">
        <v>11</v>
      </c>
      <c r="M13" s="2" t="s">
        <v>12</v>
      </c>
      <c r="N13" s="2" t="s">
        <v>13</v>
      </c>
      <c r="O13" s="2" t="s">
        <v>14</v>
      </c>
      <c r="P13" s="2" t="s">
        <v>33</v>
      </c>
      <c r="Q13" s="2" t="s">
        <v>34</v>
      </c>
      <c r="R13" s="2" t="s">
        <v>35</v>
      </c>
      <c r="S13" s="2" t="s">
        <v>36</v>
      </c>
      <c r="T13" s="2" t="s">
        <v>15</v>
      </c>
      <c r="U13" s="2" t="s">
        <v>37</v>
      </c>
      <c r="V13" s="2" t="s">
        <v>38</v>
      </c>
      <c r="W13" s="2" t="s">
        <v>39</v>
      </c>
      <c r="X13" s="2" t="s">
        <v>40</v>
      </c>
      <c r="Y13" s="2" t="s">
        <v>41</v>
      </c>
      <c r="Z13" s="2" t="s">
        <v>42</v>
      </c>
      <c r="AA13" s="2" t="s">
        <v>43</v>
      </c>
      <c r="AB13" s="2" t="s">
        <v>44</v>
      </c>
      <c r="AC13" s="2" t="s">
        <v>45</v>
      </c>
      <c r="AD13" s="2" t="s">
        <v>46</v>
      </c>
      <c r="AE13" s="2" t="s">
        <v>47</v>
      </c>
      <c r="AF13" s="2" t="s">
        <v>48</v>
      </c>
      <c r="AG13" s="2" t="s">
        <v>49</v>
      </c>
      <c r="AH13" s="2" t="s">
        <v>50</v>
      </c>
      <c r="AI13" s="2" t="s">
        <v>51</v>
      </c>
      <c r="AJ13" s="2" t="s">
        <v>52</v>
      </c>
      <c r="AK13" s="2" t="s">
        <v>53</v>
      </c>
      <c r="AL13" s="2" t="s">
        <v>54</v>
      </c>
      <c r="AM13" s="2" t="s">
        <v>55</v>
      </c>
      <c r="AN13" s="2" t="s">
        <v>56</v>
      </c>
      <c r="AO13" s="2" t="s">
        <v>57</v>
      </c>
      <c r="AP13" s="2" t="s">
        <v>58</v>
      </c>
      <c r="AQ13" s="2" t="s">
        <v>59</v>
      </c>
      <c r="AR13" s="2" t="s">
        <v>60</v>
      </c>
      <c r="AS13" s="2" t="s">
        <v>61</v>
      </c>
      <c r="AT13" s="2" t="s">
        <v>62</v>
      </c>
    </row>
    <row r="14" spans="1:46" x14ac:dyDescent="0.35">
      <c r="A14" s="1"/>
      <c r="B14" s="1"/>
      <c r="C14" s="1"/>
      <c r="F14" s="1" t="s">
        <v>63</v>
      </c>
      <c r="G14">
        <v>8</v>
      </c>
      <c r="H14" s="1"/>
      <c r="J14">
        <f>N(J13)+1</f>
        <v>1</v>
      </c>
      <c r="K14" s="1" t="s">
        <v>64</v>
      </c>
      <c r="L14" s="1" t="s">
        <v>65</v>
      </c>
      <c r="M14" s="1" t="s">
        <v>66</v>
      </c>
      <c r="N14" s="1" t="s">
        <v>67</v>
      </c>
      <c r="O14" s="1" t="s">
        <v>68</v>
      </c>
      <c r="P14" s="1" t="s">
        <v>69</v>
      </c>
      <c r="Q14" s="1" t="s">
        <v>70</v>
      </c>
      <c r="R14">
        <v>1</v>
      </c>
      <c r="S14">
        <v>1</v>
      </c>
      <c r="T14">
        <v>0</v>
      </c>
      <c r="U14">
        <v>0</v>
      </c>
      <c r="V14">
        <f>COUNTA(X14,AB14,AF14,AJ14,AN14,AR14)</f>
        <v>4</v>
      </c>
      <c r="W14">
        <f>IF(ISBLANK(X14),0,IF(OR(LEFT(X14,1)="B",LEFT(X14,1)="T"),1,2))</f>
        <v>1</v>
      </c>
      <c r="X14" s="1" t="s">
        <v>71</v>
      </c>
      <c r="Y14">
        <f>IF(W14=0,0,IF(W14=1,MATCH(X14,$K$14:$K$39,0),MATCH(X14,$K$43:$K$66,0)))</f>
        <v>8</v>
      </c>
      <c r="Z14">
        <v>1</v>
      </c>
      <c r="AA14">
        <f>IF(ISBLANK(AB14),0,IF(OR(LEFT(AB14,1)="B",LEFT(AB14,1)="T"),1,2))</f>
        <v>1</v>
      </c>
      <c r="AB14" s="1" t="s">
        <v>72</v>
      </c>
      <c r="AC14">
        <f>IF(AA14=0,0,IF(AA14=1,MATCH(AB14,$K$14:$K$39,0),MATCH(AB14,$K$43:$K$66,0)))</f>
        <v>7</v>
      </c>
      <c r="AD14">
        <v>1</v>
      </c>
      <c r="AE14">
        <f>IF(ISBLANK(AF14),0,IF(OR(LEFT(AF14,1)="B",LEFT(AF14,1)="T"),1,2))</f>
        <v>1</v>
      </c>
      <c r="AF14" s="1" t="s">
        <v>73</v>
      </c>
      <c r="AG14">
        <f>IF(AE14=0,0,IF(AE14=1,MATCH(AF14,$K$14:$K$39,0),MATCH(AF14,$K$43:$K$66,0)))</f>
        <v>6</v>
      </c>
      <c r="AH14">
        <v>1</v>
      </c>
      <c r="AI14">
        <f>IF(ISBLANK(AJ14),0,IF(OR(LEFT(AJ14,1)="B",LEFT(AJ14,1)="T"),1,2))</f>
        <v>1</v>
      </c>
      <c r="AJ14" s="1" t="s">
        <v>74</v>
      </c>
      <c r="AK14">
        <f>IF(AI14=0,0,IF(AI14=1,MATCH(AJ14,$K$14:$K$39,0),MATCH(AJ14,$K$43:$K$66,0)))</f>
        <v>4</v>
      </c>
      <c r="AL14">
        <v>1</v>
      </c>
      <c r="AM14">
        <f>IF(ISBLANK(AN14),0,IF(OR(LEFT(AN14,1)="B",LEFT(AN14,1)="T"),1,2))</f>
        <v>0</v>
      </c>
      <c r="AN14" s="1"/>
      <c r="AO14">
        <f>IF(AM14=0,0,IF(AM14=1,MATCH(AN14,$K$14:$K$39,0),MATCH(AN14,$K$43:$K$66,0)))</f>
        <v>0</v>
      </c>
      <c r="AP14">
        <v>1</v>
      </c>
      <c r="AQ14">
        <f>IF(ISBLANK(AR14),0,IF(OR(LEFT(AR14,1)="B",LEFT(AR14,1)="T"),1,2))</f>
        <v>0</v>
      </c>
      <c r="AR14" s="1"/>
      <c r="AS14">
        <f>IF(AQ14=0,0,IF(AQ14=1,MATCH(AR14,$K$14:$K$39,0),MATCH(AR14,$K$43:$K$66,0)))</f>
        <v>0</v>
      </c>
      <c r="AT14">
        <v>1</v>
      </c>
    </row>
    <row r="15" spans="1:46" x14ac:dyDescent="0.35">
      <c r="A15" s="1"/>
      <c r="B15" s="1"/>
      <c r="C15" s="1"/>
      <c r="F15" s="1" t="s">
        <v>75</v>
      </c>
      <c r="G15">
        <f>COUNT(R14:R32)</f>
        <v>3</v>
      </c>
      <c r="H15" s="1"/>
      <c r="J15">
        <f>N(J14)+1</f>
        <v>2</v>
      </c>
      <c r="K15" s="1" t="s">
        <v>76</v>
      </c>
      <c r="L15" s="1" t="s">
        <v>77</v>
      </c>
      <c r="M15" s="1" t="s">
        <v>78</v>
      </c>
      <c r="N15" s="1" t="s">
        <v>79</v>
      </c>
      <c r="O15" s="1" t="s">
        <v>68</v>
      </c>
      <c r="P15" s="1" t="s">
        <v>69</v>
      </c>
      <c r="Q15" s="1" t="s">
        <v>70</v>
      </c>
      <c r="R15">
        <v>1</v>
      </c>
      <c r="S15">
        <f>S19+1</f>
        <v>4</v>
      </c>
      <c r="T15">
        <v>0</v>
      </c>
      <c r="U15">
        <v>0</v>
      </c>
      <c r="V15">
        <f>COUNTA(X15,AB15,AF15,AJ15,AN15,AR15)</f>
        <v>2</v>
      </c>
      <c r="W15">
        <f>IF(ISBLANK(X15),0,IF(OR(LEFT(X15,1)="B",LEFT(X15,1)="T"),1,2))</f>
        <v>1</v>
      </c>
      <c r="X15" s="1" t="s">
        <v>80</v>
      </c>
      <c r="Y15">
        <f>IF(W15=0,0,IF(W15=1,MATCH(X15,$K$14:$K$39,0),MATCH(X15,$K$43:$K$66,0)))</f>
        <v>6</v>
      </c>
      <c r="Z15">
        <v>1</v>
      </c>
      <c r="AA15">
        <f>IF(ISBLANK(AB15),0,IF(OR(LEFT(AB15,1)="B",LEFT(AB15,1)="T"),1,2))</f>
        <v>1</v>
      </c>
      <c r="AB15" s="1" t="s">
        <v>74</v>
      </c>
      <c r="AC15">
        <f>IF(AA15=0,0,IF(AA15=1,MATCH(AB15,$K$14:$K$39,0),MATCH(AB15,$K$43:$K$66,0)))</f>
        <v>4</v>
      </c>
      <c r="AD15">
        <v>1</v>
      </c>
      <c r="AE15">
        <f>IF(ISBLANK(AF15),0,IF(OR(LEFT(AF15,1)="B",LEFT(AF15,1)="T"),1,2))</f>
        <v>0</v>
      </c>
      <c r="AF15" s="1"/>
      <c r="AG15">
        <f>IF(AE15=0,0,IF(AE15=1,MATCH(AF15,$K$14:$K$39,0),MATCH(AF15,$K$43:$K$66,0)))</f>
        <v>0</v>
      </c>
      <c r="AH15">
        <v>1</v>
      </c>
      <c r="AI15">
        <f>IF(ISBLANK(AJ15),0,IF(OR(LEFT(AJ15,1)="B",LEFT(AJ15,1)="T"),1,2))</f>
        <v>0</v>
      </c>
      <c r="AJ15" s="1"/>
      <c r="AK15">
        <f>IF(AI15=0,0,IF(AI15=1,MATCH(AJ15,$K$14:$K$39,0),MATCH(AJ15,$K$43:$K$66,0)))</f>
        <v>0</v>
      </c>
      <c r="AL15">
        <v>1</v>
      </c>
      <c r="AM15">
        <f>IF(ISBLANK(AN15),0,IF(OR(LEFT(AN15,1)="B",LEFT(AN15,1)="T"),1,2))</f>
        <v>0</v>
      </c>
      <c r="AN15" s="1"/>
      <c r="AO15">
        <f>IF(AM15=0,0,IF(AM15=1,MATCH(AN15,$K$14:$K$39,0),MATCH(AN15,$K$43:$K$66,0)))</f>
        <v>0</v>
      </c>
      <c r="AP15">
        <v>1</v>
      </c>
      <c r="AQ15">
        <f>IF(ISBLANK(AR15),0,IF(OR(LEFT(AR15,1)="B",LEFT(AR15,1)="T"),1,2))</f>
        <v>0</v>
      </c>
      <c r="AR15" s="1"/>
      <c r="AS15">
        <f>IF(AQ15=0,0,IF(AQ15=1,MATCH(AR15,$K$14:$K$39,0),MATCH(AR15,$K$43:$K$66,0)))</f>
        <v>0</v>
      </c>
      <c r="AT15">
        <v>1</v>
      </c>
    </row>
    <row r="16" spans="1:46" x14ac:dyDescent="0.35">
      <c r="F16" s="1" t="s">
        <v>8</v>
      </c>
      <c r="J16">
        <f>N(J15)+1</f>
        <v>3</v>
      </c>
      <c r="K16" s="1" t="s">
        <v>81</v>
      </c>
      <c r="L16" s="1" t="s">
        <v>82</v>
      </c>
      <c r="M16" s="1" t="s">
        <v>83</v>
      </c>
      <c r="N16" s="1" t="s">
        <v>84</v>
      </c>
      <c r="O16" s="1" t="s">
        <v>85</v>
      </c>
      <c r="P16" s="1" t="s">
        <v>69</v>
      </c>
      <c r="Q16" s="3" t="s">
        <v>86</v>
      </c>
      <c r="R16">
        <v>1</v>
      </c>
      <c r="S16">
        <f>S22+1</f>
        <v>2</v>
      </c>
      <c r="T16">
        <v>0</v>
      </c>
      <c r="U16">
        <v>0</v>
      </c>
      <c r="V16">
        <f>COUNTA(X16,AB16,AF16,AJ16,AN16,AR16)</f>
        <v>2</v>
      </c>
      <c r="W16">
        <f>IF(ISBLANK(X16),0,IF(OR(LEFT(X16,1)="B",LEFT(X16,1)="T"),1,2))</f>
        <v>1</v>
      </c>
      <c r="X16" s="1" t="s">
        <v>81</v>
      </c>
      <c r="Y16">
        <f>IF(W16=0,0,IF(W16=1,MATCH(X16,$K$14:$K$39,0),MATCH(X16,$K$43:$K$66,0)))</f>
        <v>3</v>
      </c>
      <c r="Z16">
        <v>1</v>
      </c>
      <c r="AA16">
        <f>IF(ISBLANK(AB16),0,IF(OR(LEFT(AB16,1)="B",LEFT(AB16,1)="T"),1,2))</f>
        <v>2</v>
      </c>
      <c r="AB16" s="1" t="s">
        <v>87</v>
      </c>
      <c r="AC16">
        <f>IF(AA16=0,0,IF(AA16=1,MATCH(AB16,$K$14:$K$39,0),MATCH(AB16,$K$43:$K$66,0)))</f>
        <v>6</v>
      </c>
      <c r="AD16">
        <v>1</v>
      </c>
      <c r="AE16">
        <f>IF(ISBLANK(AF16),0,IF(OR(LEFT(AF16,1)="B",LEFT(AF16,1)="T"),1,2))</f>
        <v>0</v>
      </c>
      <c r="AF16" s="1"/>
      <c r="AG16">
        <f>IF(AE16=0,0,IF(AE16=1,MATCH(AF16,$K$14:$K$39,0),MATCH(AF16,$K$43:$K$66,0)))</f>
        <v>0</v>
      </c>
      <c r="AH16">
        <v>1</v>
      </c>
      <c r="AI16">
        <f>IF(ISBLANK(AJ16),0,IF(OR(LEFT(AJ16,1)="B",LEFT(AJ16,1)="T"),1,2))</f>
        <v>0</v>
      </c>
      <c r="AJ16" s="1"/>
      <c r="AK16">
        <f>IF(AI16=0,0,IF(AI16=1,MATCH(AJ16,$K$14:$K$39,0),MATCH(AJ16,$K$43:$K$66,0)))</f>
        <v>0</v>
      </c>
      <c r="AL16">
        <v>1</v>
      </c>
      <c r="AM16">
        <f>IF(ISBLANK(AN16),0,IF(OR(LEFT(AN16,1)="B",LEFT(AN16,1)="T"),1,2))</f>
        <v>0</v>
      </c>
      <c r="AN16" s="1"/>
      <c r="AO16">
        <f>IF(AM16=0,0,IF(AM16=1,MATCH(AN16,$K$14:$K$39,0),MATCH(AN16,$K$43:$K$66,0)))</f>
        <v>0</v>
      </c>
      <c r="AP16">
        <v>1</v>
      </c>
      <c r="AQ16">
        <f>IF(ISBLANK(AR16),0,IF(OR(LEFT(AR16,1)="B",LEFT(AR16,1)="T"),1,2))</f>
        <v>0</v>
      </c>
      <c r="AR16" s="1"/>
      <c r="AS16">
        <f>IF(AQ16=0,0,IF(AQ16=1,MATCH(AR16,$K$14:$K$39,0),MATCH(AR16,$K$43:$K$66,0)))</f>
        <v>0</v>
      </c>
      <c r="AT16">
        <v>1</v>
      </c>
    </row>
    <row r="17" spans="1:46" x14ac:dyDescent="0.35">
      <c r="F17" s="2" t="s">
        <v>1</v>
      </c>
      <c r="G17" s="2" t="s">
        <v>14</v>
      </c>
      <c r="H17" s="2" t="s">
        <v>18</v>
      </c>
      <c r="J17">
        <f>N(J16)+1</f>
        <v>4</v>
      </c>
      <c r="K17" s="1" t="s">
        <v>88</v>
      </c>
      <c r="L17" s="1" t="s">
        <v>89</v>
      </c>
      <c r="M17" s="1" t="s">
        <v>90</v>
      </c>
      <c r="N17" s="4" t="s">
        <v>91</v>
      </c>
      <c r="O17" s="1" t="s">
        <v>92</v>
      </c>
      <c r="P17" s="1" t="s">
        <v>69</v>
      </c>
      <c r="Q17" s="1" t="s">
        <v>70</v>
      </c>
      <c r="S17">
        <f>S11+1</f>
        <v>1</v>
      </c>
      <c r="T17">
        <v>0</v>
      </c>
      <c r="U17">
        <v>0</v>
      </c>
      <c r="V17">
        <f>COUNTA(X17,AB17,AF17,AJ17,AN17,AR17)</f>
        <v>3</v>
      </c>
      <c r="W17">
        <f>IF(ISBLANK(X17),0,IF(OR(LEFT(X17,1)="B",LEFT(X17,1)="T"),1,2))</f>
        <v>1</v>
      </c>
      <c r="X17" s="1" t="s">
        <v>93</v>
      </c>
      <c r="Y17">
        <f>IF(W17=0,0,IF(W17=1,MATCH(X17,$K$14:$K$39,0),MATCH(X17,$K$43:$K$66,0)))</f>
        <v>16</v>
      </c>
      <c r="Z17">
        <v>1</v>
      </c>
      <c r="AA17">
        <f>IF(ISBLANK(AB17),0,IF(OR(LEFT(AB17,1)="B",LEFT(AB17,1)="T"),1,2))</f>
        <v>2</v>
      </c>
      <c r="AB17" s="1" t="s">
        <v>94</v>
      </c>
      <c r="AC17">
        <f>IF(AA17=0,0,IF(AA17=1,MATCH(AB17,$K$14:$K$39,0),MATCH(AB17,$K$43:$K$66,0)))</f>
        <v>22</v>
      </c>
      <c r="AD17">
        <v>-1</v>
      </c>
      <c r="AE17">
        <f>IF(ISBLANK(AF17),0,IF(OR(LEFT(AF17,1)="B",LEFT(AF17,1)="T"),1,2))</f>
        <v>2</v>
      </c>
      <c r="AF17" s="1" t="s">
        <v>95</v>
      </c>
      <c r="AG17">
        <f>IF(AE17=0,0,IF(AE17=1,MATCH(AF17,$K$14:$K$39,0),MATCH(AF17,$K$43:$K$66,0)))</f>
        <v>1</v>
      </c>
      <c r="AH17">
        <v>1</v>
      </c>
      <c r="AI17">
        <f>IF(ISBLANK(AJ17),0,IF(OR(LEFT(AJ17,1)="B",LEFT(AJ17,1)="T"),1,2))</f>
        <v>0</v>
      </c>
      <c r="AJ17" s="1"/>
      <c r="AK17">
        <f>IF(AI17=0,0,IF(AI17=1,MATCH(AJ17,$K$14:$K$39,0),MATCH(AJ17,$K$43:$K$66,0)))</f>
        <v>0</v>
      </c>
      <c r="AL17">
        <v>1</v>
      </c>
      <c r="AM17">
        <f>IF(ISBLANK(AN17),0,IF(OR(LEFT(AN17,1)="B",LEFT(AN17,1)="T"),1,2))</f>
        <v>0</v>
      </c>
      <c r="AN17" s="1"/>
      <c r="AO17">
        <f>IF(AM17=0,0,IF(AM17=1,MATCH(AN17,$K$14:$K$39,0),MATCH(AN17,$K$43:$K$66,0)))</f>
        <v>0</v>
      </c>
      <c r="AP17">
        <v>1</v>
      </c>
      <c r="AQ17">
        <f>IF(ISBLANK(AR17),0,IF(OR(LEFT(AR17,1)="B",LEFT(AR17,1)="T"),1,2))</f>
        <v>0</v>
      </c>
      <c r="AR17" s="1"/>
      <c r="AS17">
        <f>IF(AQ17=0,0,IF(AQ17=1,MATCH(AR17,$K$14:$K$39,0),MATCH(AR17,$K$43:$K$66,0)))</f>
        <v>0</v>
      </c>
      <c r="AT17">
        <v>1</v>
      </c>
    </row>
    <row r="18" spans="1:46" x14ac:dyDescent="0.35">
      <c r="F18" s="1" t="s">
        <v>24</v>
      </c>
      <c r="G18" s="1" t="s">
        <v>22</v>
      </c>
      <c r="H18" s="1" t="s">
        <v>96</v>
      </c>
      <c r="J18">
        <f>N(J17)+1</f>
        <v>5</v>
      </c>
      <c r="K18" s="1" t="s">
        <v>97</v>
      </c>
      <c r="L18" s="1" t="s">
        <v>98</v>
      </c>
      <c r="M18" s="1" t="s">
        <v>99</v>
      </c>
      <c r="N18" s="1" t="s">
        <v>100</v>
      </c>
      <c r="O18" s="1" t="s">
        <v>92</v>
      </c>
      <c r="P18" s="1" t="s">
        <v>69</v>
      </c>
      <c r="Q18" s="1" t="s">
        <v>70</v>
      </c>
      <c r="S18">
        <f>S17+1</f>
        <v>2</v>
      </c>
      <c r="T18">
        <v>0</v>
      </c>
      <c r="U18">
        <v>0</v>
      </c>
      <c r="V18">
        <f>COUNTA(X18,AB18,AF18,AJ18,AN18,AR18)</f>
        <v>3</v>
      </c>
      <c r="W18">
        <f>IF(ISBLANK(X18),0,IF(OR(LEFT(X18,1)="B",LEFT(X18,1)="T"),1,2))</f>
        <v>1</v>
      </c>
      <c r="X18" s="1" t="s">
        <v>101</v>
      </c>
      <c r="Y18">
        <f>IF(W18=0,0,IF(W18=1,MATCH(X18,$K$14:$K$39,0),MATCH(X18,$K$43:$K$66,0)))</f>
        <v>15</v>
      </c>
      <c r="Z18">
        <v>1</v>
      </c>
      <c r="AA18">
        <f>IF(ISBLANK(AB18),0,IF(OR(LEFT(AB18,1)="B",LEFT(AB18,1)="T"),1,2))</f>
        <v>2</v>
      </c>
      <c r="AB18" s="1" t="s">
        <v>102</v>
      </c>
      <c r="AC18">
        <f>IF(AA18=0,0,IF(AA18=1,MATCH(AB18,$K$14:$K$39,0),MATCH(AB18,$K$43:$K$66,0)))</f>
        <v>21</v>
      </c>
      <c r="AD18">
        <v>-1</v>
      </c>
      <c r="AE18">
        <f>IF(ISBLANK(AF18),0,IF(OR(LEFT(AF18,1)="B",LEFT(AF18,1)="T"),1,2))</f>
        <v>2</v>
      </c>
      <c r="AF18" s="1" t="s">
        <v>103</v>
      </c>
      <c r="AG18">
        <f>IF(AE18=0,0,IF(AE18=1,MATCH(AF18,$K$14:$K$39,0),MATCH(AF18,$K$43:$K$66,0)))</f>
        <v>2</v>
      </c>
      <c r="AH18">
        <v>1</v>
      </c>
      <c r="AI18">
        <f>IF(ISBLANK(AJ18),0,IF(OR(LEFT(AJ18,1)="B",LEFT(AJ18,1)="T"),1,2))</f>
        <v>0</v>
      </c>
      <c r="AJ18" s="1"/>
      <c r="AK18">
        <f>IF(AI18=0,0,IF(AI18=1,MATCH(AJ18,$K$14:$K$39,0),MATCH(AJ18,$K$43:$K$66,0)))</f>
        <v>0</v>
      </c>
      <c r="AL18">
        <v>1</v>
      </c>
      <c r="AM18">
        <f>IF(ISBLANK(AN18),0,IF(OR(LEFT(AN18,1)="B",LEFT(AN18,1)="T"),1,2))</f>
        <v>0</v>
      </c>
      <c r="AN18" s="1"/>
      <c r="AO18">
        <f>IF(AM18=0,0,IF(AM18=1,MATCH(AN18,$K$14:$K$39,0),MATCH(AN18,$K$43:$K$66,0)))</f>
        <v>0</v>
      </c>
      <c r="AP18">
        <v>1</v>
      </c>
      <c r="AQ18">
        <f>IF(ISBLANK(AR18),0,IF(OR(LEFT(AR18,1)="B",LEFT(AR18,1)="T"),1,2))</f>
        <v>0</v>
      </c>
      <c r="AR18" s="1"/>
      <c r="AS18">
        <f>IF(AQ18=0,0,IF(AQ18=1,MATCH(AR18,$K$14:$K$39,0),MATCH(AR18,$K$43:$K$66,0)))</f>
        <v>0</v>
      </c>
      <c r="AT18">
        <v>1</v>
      </c>
    </row>
    <row r="19" spans="1:46" x14ac:dyDescent="0.35">
      <c r="J19">
        <f t="shared" ref="J19:J27" si="0">N(J18)+1</f>
        <v>6</v>
      </c>
      <c r="K19" s="1" t="s">
        <v>80</v>
      </c>
      <c r="L19" s="1" t="s">
        <v>104</v>
      </c>
      <c r="M19" s="1" t="s">
        <v>105</v>
      </c>
      <c r="N19" s="1" t="s">
        <v>106</v>
      </c>
      <c r="O19" s="1" t="s">
        <v>92</v>
      </c>
      <c r="P19" s="1" t="s">
        <v>69</v>
      </c>
      <c r="Q19" s="1" t="s">
        <v>70</v>
      </c>
      <c r="S19">
        <f>S18+1</f>
        <v>3</v>
      </c>
      <c r="T19">
        <v>0</v>
      </c>
      <c r="U19">
        <v>0</v>
      </c>
      <c r="V19">
        <f t="shared" ref="V19:V27" si="1">COUNTA(X19,AB19,AF19,AJ19,AN19,AR19)</f>
        <v>3</v>
      </c>
      <c r="W19">
        <f t="shared" ref="W19:W27" si="2">IF(ISBLANK(X19),0,IF(OR(LEFT(X19,1)="B",LEFT(X19,1)="T"),1,2))</f>
        <v>1</v>
      </c>
      <c r="X19" s="1" t="s">
        <v>107</v>
      </c>
      <c r="Y19">
        <f t="shared" ref="Y19:Y27" si="3">IF(W19=0,0,IF(W19=1,MATCH(X19,$K$14:$K$39,0),MATCH(X19,$K$43:$K$66,0)))</f>
        <v>14</v>
      </c>
      <c r="Z19">
        <v>1</v>
      </c>
      <c r="AA19">
        <f t="shared" ref="AA19:AA27" si="4">IF(ISBLANK(AB19),0,IF(OR(LEFT(AB19,1)="B",LEFT(AB19,1)="T"),1,2))</f>
        <v>2</v>
      </c>
      <c r="AB19" s="1" t="s">
        <v>108</v>
      </c>
      <c r="AC19">
        <f t="shared" ref="AC19:AC27" si="5">IF(AA19=0,0,IF(AA19=1,MATCH(AB19,$K$14:$K$39,0),MATCH(AB19,$K$43:$K$66,0)))</f>
        <v>20</v>
      </c>
      <c r="AD19">
        <v>-1</v>
      </c>
      <c r="AE19">
        <f t="shared" ref="AE19:AE27" si="6">IF(ISBLANK(AF19),0,IF(OR(LEFT(AF19,1)="B",LEFT(AF19,1)="T"),1,2))</f>
        <v>2</v>
      </c>
      <c r="AF19" s="1" t="s">
        <v>109</v>
      </c>
      <c r="AG19">
        <f t="shared" ref="AG19:AG27" si="7">IF(AE19=0,0,IF(AE19=1,MATCH(AF19,$K$14:$K$39,0),MATCH(AF19,$K$43:$K$66,0)))</f>
        <v>3</v>
      </c>
      <c r="AH19">
        <v>1</v>
      </c>
      <c r="AI19">
        <f t="shared" ref="AI19:AI27" si="8">IF(ISBLANK(AJ19),0,IF(OR(LEFT(AJ19,1)="B",LEFT(AJ19,1)="T"),1,2))</f>
        <v>0</v>
      </c>
      <c r="AJ19" s="1"/>
      <c r="AK19">
        <f t="shared" ref="AK19:AK27" si="9">IF(AI19=0,0,IF(AI19=1,MATCH(AJ19,$K$14:$K$39,0),MATCH(AJ19,$K$43:$K$66,0)))</f>
        <v>0</v>
      </c>
      <c r="AL19">
        <v>1</v>
      </c>
      <c r="AM19">
        <f t="shared" ref="AM19:AM27" si="10">IF(ISBLANK(AN19),0,IF(OR(LEFT(AN19,1)="B",LEFT(AN19,1)="T"),1,2))</f>
        <v>0</v>
      </c>
      <c r="AN19" s="1"/>
      <c r="AO19">
        <f t="shared" ref="AO19:AO27" si="11">IF(AM19=0,0,IF(AM19=1,MATCH(AN19,$K$14:$K$39,0),MATCH(AN19,$K$43:$K$66,0)))</f>
        <v>0</v>
      </c>
      <c r="AP19">
        <v>1</v>
      </c>
      <c r="AQ19">
        <f t="shared" ref="AQ19:AQ27" si="12">IF(ISBLANK(AR19),0,IF(OR(LEFT(AR19,1)="B",LEFT(AR19,1)="T"),1,2))</f>
        <v>0</v>
      </c>
      <c r="AR19" s="1"/>
      <c r="AS19">
        <f t="shared" ref="AS19:AS27" si="13">IF(AQ19=0,0,IF(AQ19=1,MATCH(AR19,$K$14:$K$39,0),MATCH(AR19,$K$43:$K$66,0)))</f>
        <v>0</v>
      </c>
      <c r="AT19">
        <v>1</v>
      </c>
    </row>
    <row r="20" spans="1:46" x14ac:dyDescent="0.35">
      <c r="F20" s="1"/>
      <c r="G20" s="1"/>
      <c r="H20" s="1"/>
      <c r="J20">
        <f t="shared" si="0"/>
        <v>7</v>
      </c>
      <c r="K20" s="1" t="s">
        <v>72</v>
      </c>
      <c r="L20" s="1" t="s">
        <v>110</v>
      </c>
      <c r="M20" s="1" t="s">
        <v>110</v>
      </c>
      <c r="N20" s="1" t="s">
        <v>111</v>
      </c>
      <c r="O20" s="1" t="s">
        <v>92</v>
      </c>
      <c r="P20" s="1" t="s">
        <v>69</v>
      </c>
      <c r="Q20" s="1"/>
      <c r="S20">
        <f>S17+1</f>
        <v>2</v>
      </c>
      <c r="T20">
        <v>0</v>
      </c>
      <c r="U20">
        <v>0</v>
      </c>
      <c r="V20">
        <f t="shared" si="1"/>
        <v>3</v>
      </c>
      <c r="W20">
        <f t="shared" si="2"/>
        <v>1</v>
      </c>
      <c r="X20" s="1" t="s">
        <v>112</v>
      </c>
      <c r="Y20">
        <f t="shared" si="3"/>
        <v>13</v>
      </c>
      <c r="Z20">
        <v>1</v>
      </c>
      <c r="AA20">
        <f t="shared" si="4"/>
        <v>2</v>
      </c>
      <c r="AB20" s="1" t="s">
        <v>113</v>
      </c>
      <c r="AC20">
        <f t="shared" si="5"/>
        <v>23</v>
      </c>
      <c r="AD20">
        <v>-1</v>
      </c>
      <c r="AE20">
        <f t="shared" si="6"/>
        <v>2</v>
      </c>
      <c r="AF20" s="1" t="s">
        <v>114</v>
      </c>
      <c r="AG20">
        <f t="shared" si="7"/>
        <v>5</v>
      </c>
      <c r="AH20">
        <v>1</v>
      </c>
      <c r="AI20">
        <f t="shared" si="8"/>
        <v>0</v>
      </c>
      <c r="AJ20" s="1"/>
      <c r="AK20">
        <f t="shared" si="9"/>
        <v>0</v>
      </c>
      <c r="AL20">
        <v>1</v>
      </c>
      <c r="AM20">
        <f t="shared" si="10"/>
        <v>0</v>
      </c>
      <c r="AN20" s="1"/>
      <c r="AO20">
        <f t="shared" si="11"/>
        <v>0</v>
      </c>
      <c r="AP20">
        <v>1</v>
      </c>
      <c r="AQ20">
        <f t="shared" si="12"/>
        <v>0</v>
      </c>
      <c r="AR20" s="1"/>
      <c r="AS20">
        <f t="shared" si="13"/>
        <v>0</v>
      </c>
      <c r="AT20">
        <v>1</v>
      </c>
    </row>
    <row r="21" spans="1:46" x14ac:dyDescent="0.35">
      <c r="F21" s="1"/>
      <c r="G21" s="1"/>
      <c r="H21" s="1"/>
      <c r="J21">
        <f t="shared" si="0"/>
        <v>8</v>
      </c>
      <c r="K21" s="1" t="s">
        <v>71</v>
      </c>
      <c r="L21" s="1" t="s">
        <v>115</v>
      </c>
      <c r="M21" s="1" t="s">
        <v>116</v>
      </c>
      <c r="N21" s="1" t="s">
        <v>117</v>
      </c>
      <c r="O21" s="1" t="s">
        <v>92</v>
      </c>
      <c r="P21" s="1" t="s">
        <v>69</v>
      </c>
      <c r="Q21" s="1"/>
      <c r="S21">
        <f>S15+1</f>
        <v>5</v>
      </c>
      <c r="T21">
        <v>0</v>
      </c>
      <c r="U21">
        <v>0</v>
      </c>
      <c r="V21">
        <f t="shared" si="1"/>
        <v>3</v>
      </c>
      <c r="W21">
        <f t="shared" si="2"/>
        <v>1</v>
      </c>
      <c r="X21" s="1" t="s">
        <v>118</v>
      </c>
      <c r="Y21">
        <f t="shared" si="3"/>
        <v>12</v>
      </c>
      <c r="Z21">
        <v>1</v>
      </c>
      <c r="AA21">
        <f t="shared" si="4"/>
        <v>2</v>
      </c>
      <c r="AB21" s="1" t="s">
        <v>119</v>
      </c>
      <c r="AC21">
        <f t="shared" si="5"/>
        <v>24</v>
      </c>
      <c r="AD21">
        <v>-1</v>
      </c>
      <c r="AE21">
        <f t="shared" si="6"/>
        <v>2</v>
      </c>
      <c r="AF21" s="1" t="s">
        <v>120</v>
      </c>
      <c r="AG21">
        <f t="shared" si="7"/>
        <v>10</v>
      </c>
      <c r="AH21">
        <v>1</v>
      </c>
      <c r="AI21">
        <f t="shared" si="8"/>
        <v>0</v>
      </c>
      <c r="AJ21" s="1"/>
      <c r="AK21">
        <f t="shared" si="9"/>
        <v>0</v>
      </c>
      <c r="AL21">
        <v>1</v>
      </c>
      <c r="AM21">
        <f t="shared" si="10"/>
        <v>0</v>
      </c>
      <c r="AN21" s="1"/>
      <c r="AO21">
        <f t="shared" si="11"/>
        <v>0</v>
      </c>
      <c r="AP21">
        <v>1</v>
      </c>
      <c r="AQ21">
        <f t="shared" si="12"/>
        <v>0</v>
      </c>
      <c r="AR21" s="1"/>
      <c r="AS21">
        <f t="shared" si="13"/>
        <v>0</v>
      </c>
      <c r="AT21">
        <v>1</v>
      </c>
    </row>
    <row r="22" spans="1:46" x14ac:dyDescent="0.35">
      <c r="F22" s="1"/>
      <c r="G22" s="1"/>
      <c r="H22" s="1"/>
      <c r="J22">
        <f t="shared" si="0"/>
        <v>9</v>
      </c>
      <c r="K22" s="1" t="s">
        <v>121</v>
      </c>
      <c r="L22" s="1" t="s">
        <v>122</v>
      </c>
      <c r="M22" s="1" t="s">
        <v>123</v>
      </c>
      <c r="N22" s="1" t="s">
        <v>69</v>
      </c>
      <c r="O22" s="1" t="s">
        <v>92</v>
      </c>
      <c r="P22" s="1" t="s">
        <v>69</v>
      </c>
      <c r="Q22" s="1" t="s">
        <v>124</v>
      </c>
      <c r="S22">
        <v>1</v>
      </c>
      <c r="T22">
        <v>0</v>
      </c>
      <c r="U22">
        <v>0</v>
      </c>
      <c r="V22">
        <f t="shared" si="1"/>
        <v>5</v>
      </c>
      <c r="W22">
        <f t="shared" si="2"/>
        <v>1</v>
      </c>
      <c r="X22" s="1" t="s">
        <v>93</v>
      </c>
      <c r="Y22">
        <f t="shared" si="3"/>
        <v>16</v>
      </c>
      <c r="Z22">
        <v>1</v>
      </c>
      <c r="AA22">
        <f t="shared" si="4"/>
        <v>1</v>
      </c>
      <c r="AB22" s="1" t="s">
        <v>101</v>
      </c>
      <c r="AC22">
        <f t="shared" si="5"/>
        <v>15</v>
      </c>
      <c r="AD22">
        <v>1</v>
      </c>
      <c r="AE22">
        <f t="shared" si="6"/>
        <v>1</v>
      </c>
      <c r="AF22" s="1" t="s">
        <v>107</v>
      </c>
      <c r="AG22">
        <f t="shared" si="7"/>
        <v>14</v>
      </c>
      <c r="AH22">
        <v>1</v>
      </c>
      <c r="AI22">
        <f t="shared" si="8"/>
        <v>1</v>
      </c>
      <c r="AJ22" s="1" t="s">
        <v>118</v>
      </c>
      <c r="AK22">
        <f t="shared" si="9"/>
        <v>12</v>
      </c>
      <c r="AL22">
        <v>1</v>
      </c>
      <c r="AM22">
        <f t="shared" si="10"/>
        <v>1</v>
      </c>
      <c r="AN22" s="1" t="s">
        <v>112</v>
      </c>
      <c r="AO22">
        <f t="shared" si="11"/>
        <v>13</v>
      </c>
      <c r="AP22">
        <v>1</v>
      </c>
      <c r="AQ22">
        <f t="shared" si="12"/>
        <v>0</v>
      </c>
      <c r="AR22" s="1"/>
      <c r="AS22">
        <f t="shared" si="13"/>
        <v>0</v>
      </c>
      <c r="AT22">
        <v>1</v>
      </c>
    </row>
    <row r="23" spans="1:46" x14ac:dyDescent="0.35">
      <c r="A23" t="s">
        <v>125</v>
      </c>
      <c r="F23" s="1"/>
      <c r="G23" s="1"/>
      <c r="H23" s="1"/>
      <c r="J23">
        <f t="shared" si="0"/>
        <v>10</v>
      </c>
      <c r="K23" s="1" t="s">
        <v>126</v>
      </c>
      <c r="L23" s="1" t="s">
        <v>127</v>
      </c>
      <c r="M23" s="1" t="s">
        <v>128</v>
      </c>
      <c r="N23" s="1" t="s">
        <v>69</v>
      </c>
      <c r="O23" s="1" t="s">
        <v>129</v>
      </c>
      <c r="P23" s="1" t="s">
        <v>69</v>
      </c>
      <c r="Q23" s="1" t="s">
        <v>70</v>
      </c>
      <c r="S23">
        <v>1</v>
      </c>
      <c r="T23">
        <v>0</v>
      </c>
      <c r="U23">
        <v>0</v>
      </c>
      <c r="V23">
        <f t="shared" si="1"/>
        <v>1</v>
      </c>
      <c r="W23">
        <f t="shared" si="2"/>
        <v>1</v>
      </c>
      <c r="X23" s="1" t="s">
        <v>64</v>
      </c>
      <c r="Y23">
        <f t="shared" si="3"/>
        <v>1</v>
      </c>
      <c r="Z23">
        <v>1</v>
      </c>
      <c r="AA23">
        <f t="shared" si="4"/>
        <v>0</v>
      </c>
      <c r="AB23" s="1"/>
      <c r="AC23">
        <f t="shared" si="5"/>
        <v>0</v>
      </c>
      <c r="AD23">
        <v>1</v>
      </c>
      <c r="AE23">
        <f t="shared" si="6"/>
        <v>0</v>
      </c>
      <c r="AF23" s="1"/>
      <c r="AG23">
        <f t="shared" si="7"/>
        <v>0</v>
      </c>
      <c r="AH23">
        <v>1</v>
      </c>
      <c r="AI23">
        <f t="shared" si="8"/>
        <v>0</v>
      </c>
      <c r="AJ23" s="1"/>
      <c r="AK23">
        <f t="shared" si="9"/>
        <v>0</v>
      </c>
      <c r="AL23">
        <v>1</v>
      </c>
      <c r="AM23">
        <f t="shared" si="10"/>
        <v>0</v>
      </c>
      <c r="AN23" s="1"/>
      <c r="AO23">
        <f t="shared" si="11"/>
        <v>0</v>
      </c>
      <c r="AP23">
        <v>1</v>
      </c>
      <c r="AQ23">
        <f t="shared" si="12"/>
        <v>0</v>
      </c>
      <c r="AR23" s="1"/>
      <c r="AS23">
        <f t="shared" si="13"/>
        <v>0</v>
      </c>
      <c r="AT23">
        <v>1</v>
      </c>
    </row>
    <row r="24" spans="1:46" x14ac:dyDescent="0.35">
      <c r="A24" t="s">
        <v>4</v>
      </c>
      <c r="B24" s="1" t="s">
        <v>29</v>
      </c>
      <c r="F24" s="1"/>
      <c r="G24" s="1"/>
      <c r="H24" s="1"/>
      <c r="J24">
        <f t="shared" si="0"/>
        <v>11</v>
      </c>
      <c r="K24" s="1" t="s">
        <v>130</v>
      </c>
      <c r="L24" s="1" t="s">
        <v>131</v>
      </c>
      <c r="M24" s="1" t="s">
        <v>132</v>
      </c>
      <c r="N24" s="1" t="s">
        <v>69</v>
      </c>
      <c r="O24" s="1" t="s">
        <v>92</v>
      </c>
      <c r="P24" s="1" t="s">
        <v>133</v>
      </c>
      <c r="Q24" s="1" t="s">
        <v>70</v>
      </c>
      <c r="S24">
        <v>1</v>
      </c>
      <c r="T24">
        <v>0</v>
      </c>
      <c r="U24">
        <v>0</v>
      </c>
      <c r="V24">
        <f t="shared" si="1"/>
        <v>5</v>
      </c>
      <c r="W24">
        <f t="shared" si="2"/>
        <v>2</v>
      </c>
      <c r="X24" s="1" t="s">
        <v>134</v>
      </c>
      <c r="Y24">
        <f t="shared" si="3"/>
        <v>17</v>
      </c>
      <c r="Z24">
        <v>1</v>
      </c>
      <c r="AA24">
        <f t="shared" si="4"/>
        <v>1</v>
      </c>
      <c r="AB24" s="1" t="s">
        <v>121</v>
      </c>
      <c r="AC24">
        <f t="shared" si="5"/>
        <v>9</v>
      </c>
      <c r="AD24">
        <v>-1</v>
      </c>
      <c r="AE24">
        <f t="shared" si="6"/>
        <v>2</v>
      </c>
      <c r="AF24" s="1" t="s">
        <v>135</v>
      </c>
      <c r="AG24">
        <f t="shared" si="7"/>
        <v>4</v>
      </c>
      <c r="AH24">
        <v>0.75</v>
      </c>
      <c r="AI24">
        <f t="shared" si="8"/>
        <v>2</v>
      </c>
      <c r="AJ24" s="1" t="s">
        <v>136</v>
      </c>
      <c r="AK24">
        <f t="shared" si="9"/>
        <v>5</v>
      </c>
      <c r="AL24">
        <v>-0.85</v>
      </c>
      <c r="AM24">
        <f t="shared" si="10"/>
        <v>2</v>
      </c>
      <c r="AN24" s="1" t="s">
        <v>120</v>
      </c>
      <c r="AO24">
        <f t="shared" si="11"/>
        <v>10</v>
      </c>
      <c r="AP24">
        <v>-0.1</v>
      </c>
      <c r="AQ24">
        <f t="shared" si="12"/>
        <v>0</v>
      </c>
      <c r="AR24" s="1"/>
      <c r="AS24">
        <f t="shared" si="13"/>
        <v>0</v>
      </c>
      <c r="AT24">
        <v>1</v>
      </c>
    </row>
    <row r="25" spans="1:46" x14ac:dyDescent="0.35">
      <c r="A25" s="2" t="s">
        <v>9</v>
      </c>
      <c r="B25" s="2" t="s">
        <v>10</v>
      </c>
      <c r="C25" s="2" t="s">
        <v>137</v>
      </c>
      <c r="D25" s="2" t="s">
        <v>138</v>
      </c>
      <c r="F25" s="1"/>
      <c r="G25" s="1"/>
      <c r="H25" s="1"/>
      <c r="J25">
        <f t="shared" si="0"/>
        <v>12</v>
      </c>
      <c r="K25" s="1" t="str">
        <f>"TD"&amp;L25</f>
        <v>TDFCs</v>
      </c>
      <c r="L25" s="1" t="s">
        <v>115</v>
      </c>
      <c r="M25" s="1" t="s">
        <v>139</v>
      </c>
      <c r="N25" s="1" t="s">
        <v>69</v>
      </c>
      <c r="O25" s="1" t="s">
        <v>85</v>
      </c>
      <c r="P25" s="1" t="s">
        <v>69</v>
      </c>
      <c r="Q25" s="3" t="s">
        <v>86</v>
      </c>
      <c r="S25">
        <v>1</v>
      </c>
      <c r="T25">
        <v>0</v>
      </c>
      <c r="U25">
        <v>0</v>
      </c>
      <c r="V25">
        <f t="shared" si="1"/>
        <v>1</v>
      </c>
      <c r="W25">
        <f t="shared" si="2"/>
        <v>1</v>
      </c>
      <c r="X25" s="1" t="s">
        <v>71</v>
      </c>
      <c r="Y25">
        <f t="shared" si="3"/>
        <v>8</v>
      </c>
      <c r="Z25">
        <v>1</v>
      </c>
      <c r="AA25">
        <f t="shared" si="4"/>
        <v>0</v>
      </c>
      <c r="AB25" s="1"/>
      <c r="AC25">
        <f t="shared" si="5"/>
        <v>0</v>
      </c>
      <c r="AD25">
        <v>1</v>
      </c>
      <c r="AE25">
        <f t="shared" si="6"/>
        <v>0</v>
      </c>
      <c r="AF25" s="1"/>
      <c r="AG25">
        <f t="shared" si="7"/>
        <v>0</v>
      </c>
      <c r="AH25">
        <v>1</v>
      </c>
      <c r="AI25">
        <f t="shared" si="8"/>
        <v>0</v>
      </c>
      <c r="AJ25" s="1"/>
      <c r="AK25">
        <f t="shared" si="9"/>
        <v>0</v>
      </c>
      <c r="AL25">
        <v>1</v>
      </c>
      <c r="AM25">
        <f t="shared" si="10"/>
        <v>0</v>
      </c>
      <c r="AN25" s="1"/>
      <c r="AO25">
        <f t="shared" si="11"/>
        <v>0</v>
      </c>
      <c r="AP25">
        <v>1</v>
      </c>
      <c r="AQ25">
        <f t="shared" si="12"/>
        <v>0</v>
      </c>
      <c r="AR25" s="1"/>
      <c r="AS25">
        <f t="shared" si="13"/>
        <v>0</v>
      </c>
      <c r="AT25">
        <v>1</v>
      </c>
    </row>
    <row r="26" spans="1:46" x14ac:dyDescent="0.35">
      <c r="A26">
        <f t="shared" ref="A26:A31" si="14">N(A25)+1</f>
        <v>1</v>
      </c>
      <c r="B26" s="1" t="s">
        <v>7</v>
      </c>
      <c r="C26">
        <v>0</v>
      </c>
      <c r="D26">
        <f t="shared" ref="D26:D66" si="15">IF(C26=1,MATCH(B26,$K$14:$K$40,0),IF(C26=2,MATCH(B26,$K$43:$K$66,0),0))</f>
        <v>0</v>
      </c>
      <c r="F26" s="1"/>
      <c r="G26" s="1"/>
      <c r="H26" s="1"/>
      <c r="J26">
        <f t="shared" si="0"/>
        <v>13</v>
      </c>
      <c r="K26" s="1" t="str">
        <f>"TD"&amp;L26</f>
        <v>TDFees</v>
      </c>
      <c r="L26" s="1" t="s">
        <v>110</v>
      </c>
      <c r="M26" s="1" t="s">
        <v>140</v>
      </c>
      <c r="N26" s="1" t="s">
        <v>69</v>
      </c>
      <c r="O26" s="1" t="s">
        <v>85</v>
      </c>
      <c r="P26" s="1" t="s">
        <v>69</v>
      </c>
      <c r="Q26" s="3" t="s">
        <v>86</v>
      </c>
      <c r="S26">
        <v>1</v>
      </c>
      <c r="T26">
        <v>0</v>
      </c>
      <c r="U26">
        <v>0</v>
      </c>
      <c r="V26">
        <f t="shared" si="1"/>
        <v>2</v>
      </c>
      <c r="W26">
        <f t="shared" si="2"/>
        <v>1</v>
      </c>
      <c r="X26" s="1" t="s">
        <v>72</v>
      </c>
      <c r="Y26">
        <f t="shared" si="3"/>
        <v>7</v>
      </c>
      <c r="Z26">
        <v>1</v>
      </c>
      <c r="AA26">
        <f t="shared" si="4"/>
        <v>2</v>
      </c>
      <c r="AB26" s="1" t="s">
        <v>141</v>
      </c>
      <c r="AC26">
        <f t="shared" si="5"/>
        <v>19</v>
      </c>
      <c r="AD26">
        <v>-1</v>
      </c>
      <c r="AE26">
        <f t="shared" si="6"/>
        <v>0</v>
      </c>
      <c r="AF26" s="1"/>
      <c r="AG26">
        <f t="shared" si="7"/>
        <v>0</v>
      </c>
      <c r="AH26">
        <v>1</v>
      </c>
      <c r="AI26">
        <f t="shared" si="8"/>
        <v>0</v>
      </c>
      <c r="AJ26" s="1"/>
      <c r="AK26">
        <f t="shared" si="9"/>
        <v>0</v>
      </c>
      <c r="AL26">
        <v>1</v>
      </c>
      <c r="AM26">
        <f t="shared" si="10"/>
        <v>0</v>
      </c>
      <c r="AN26" s="1"/>
      <c r="AO26">
        <f t="shared" si="11"/>
        <v>0</v>
      </c>
      <c r="AP26">
        <v>1</v>
      </c>
      <c r="AQ26">
        <f t="shared" si="12"/>
        <v>0</v>
      </c>
      <c r="AR26" s="1"/>
      <c r="AS26">
        <f t="shared" si="13"/>
        <v>0</v>
      </c>
      <c r="AT26">
        <v>1</v>
      </c>
    </row>
    <row r="27" spans="1:46" x14ac:dyDescent="0.35">
      <c r="A27">
        <f t="shared" si="14"/>
        <v>2</v>
      </c>
      <c r="B27" s="1" t="s">
        <v>118</v>
      </c>
      <c r="C27">
        <f>IF(LEFT(B27,1)="F",2,IF(LEFT(B27,1)="D",2,1))</f>
        <v>1</v>
      </c>
      <c r="D27">
        <f t="shared" si="15"/>
        <v>12</v>
      </c>
      <c r="F27" s="1"/>
      <c r="G27" s="1"/>
      <c r="H27" s="1"/>
      <c r="J27">
        <f t="shared" si="0"/>
        <v>14</v>
      </c>
      <c r="K27" s="1" t="str">
        <f>"TD"&amp;L27</f>
        <v>TDCash</v>
      </c>
      <c r="L27" s="1" t="s">
        <v>104</v>
      </c>
      <c r="M27" s="1" t="s">
        <v>142</v>
      </c>
      <c r="N27" s="1" t="s">
        <v>69</v>
      </c>
      <c r="O27" s="1" t="s">
        <v>85</v>
      </c>
      <c r="P27" s="1" t="s">
        <v>69</v>
      </c>
      <c r="Q27" s="3" t="s">
        <v>86</v>
      </c>
      <c r="S27">
        <v>1</v>
      </c>
      <c r="T27">
        <v>0</v>
      </c>
      <c r="U27">
        <v>0</v>
      </c>
      <c r="V27">
        <f t="shared" si="1"/>
        <v>1</v>
      </c>
      <c r="W27">
        <f t="shared" si="2"/>
        <v>1</v>
      </c>
      <c r="X27" s="1" t="s">
        <v>80</v>
      </c>
      <c r="Y27">
        <f t="shared" si="3"/>
        <v>6</v>
      </c>
      <c r="Z27">
        <v>1</v>
      </c>
      <c r="AA27">
        <f t="shared" si="4"/>
        <v>0</v>
      </c>
      <c r="AB27" s="1"/>
      <c r="AC27">
        <f t="shared" si="5"/>
        <v>0</v>
      </c>
      <c r="AD27">
        <v>1</v>
      </c>
      <c r="AE27">
        <f t="shared" si="6"/>
        <v>0</v>
      </c>
      <c r="AF27" s="1"/>
      <c r="AG27">
        <f t="shared" si="7"/>
        <v>0</v>
      </c>
      <c r="AH27">
        <v>1</v>
      </c>
      <c r="AI27">
        <f t="shared" si="8"/>
        <v>0</v>
      </c>
      <c r="AJ27" s="1"/>
      <c r="AK27">
        <f t="shared" si="9"/>
        <v>0</v>
      </c>
      <c r="AL27">
        <v>1</v>
      </c>
      <c r="AM27">
        <f t="shared" si="10"/>
        <v>0</v>
      </c>
      <c r="AN27" s="1"/>
      <c r="AO27">
        <f t="shared" si="11"/>
        <v>0</v>
      </c>
      <c r="AP27">
        <v>1</v>
      </c>
      <c r="AQ27">
        <f t="shared" si="12"/>
        <v>0</v>
      </c>
      <c r="AR27" s="1"/>
      <c r="AS27">
        <f t="shared" si="13"/>
        <v>0</v>
      </c>
      <c r="AT27">
        <v>1</v>
      </c>
    </row>
    <row r="28" spans="1:46" x14ac:dyDescent="0.35">
      <c r="A28">
        <f t="shared" si="14"/>
        <v>3</v>
      </c>
      <c r="B28" s="1" t="s">
        <v>141</v>
      </c>
      <c r="C28">
        <f>IF(LEFT(B28,1)="F",2,IF(LEFT(B28,1)="D",2,1))</f>
        <v>2</v>
      </c>
      <c r="D28">
        <f t="shared" si="15"/>
        <v>19</v>
      </c>
      <c r="F28" s="1"/>
      <c r="G28" s="1"/>
      <c r="H28" s="1"/>
      <c r="J28">
        <f>N(J27)+1</f>
        <v>15</v>
      </c>
      <c r="K28" s="1" t="s">
        <v>101</v>
      </c>
      <c r="L28" s="1" t="s">
        <v>98</v>
      </c>
      <c r="M28" s="1" t="s">
        <v>143</v>
      </c>
      <c r="N28" s="1" t="s">
        <v>69</v>
      </c>
      <c r="O28" s="1" t="s">
        <v>85</v>
      </c>
      <c r="P28" s="1" t="s">
        <v>69</v>
      </c>
      <c r="Q28" s="3" t="s">
        <v>86</v>
      </c>
      <c r="S28">
        <v>1</v>
      </c>
      <c r="T28">
        <v>0</v>
      </c>
      <c r="U28">
        <v>0</v>
      </c>
      <c r="V28">
        <f>COUNTA(X28,AB28,AF28,AJ28,AN28,AR28)</f>
        <v>1</v>
      </c>
      <c r="W28">
        <f>IF(ISBLANK(X28),0,IF(OR(LEFT(X28,1)="B",LEFT(X28,1)="T"),1,2))</f>
        <v>1</v>
      </c>
      <c r="X28" s="1" t="s">
        <v>97</v>
      </c>
      <c r="Y28">
        <f>IF(W28=0,0,IF(W28=1,MATCH(X28,$K$14:$K$39,0),MATCH(X28,$K$43:$K$66,0)))</f>
        <v>5</v>
      </c>
      <c r="Z28">
        <v>1</v>
      </c>
      <c r="AA28">
        <f>IF(ISBLANK(AB28),0,IF(OR(LEFT(AB28,1)="B",LEFT(AB28,1)="T"),1,2))</f>
        <v>0</v>
      </c>
      <c r="AB28" s="1"/>
      <c r="AC28">
        <f>IF(AA28=0,0,IF(AA28=1,MATCH(AB28,$K$14:$K$39,0),MATCH(AB28,$K$43:$K$66,0)))</f>
        <v>0</v>
      </c>
      <c r="AD28">
        <v>1</v>
      </c>
      <c r="AE28">
        <f>IF(ISBLANK(AF28),0,IF(OR(LEFT(AF28,1)="B",LEFT(AF28,1)="T"),1,2))</f>
        <v>0</v>
      </c>
      <c r="AF28" s="1"/>
      <c r="AG28">
        <f>IF(AE28=0,0,IF(AE28=1,MATCH(AF28,$K$14:$K$39,0),MATCH(AF28,$K$43:$K$66,0)))</f>
        <v>0</v>
      </c>
      <c r="AH28">
        <v>1</v>
      </c>
      <c r="AI28">
        <f>IF(ISBLANK(AJ28),0,IF(OR(LEFT(AJ28,1)="B",LEFT(AJ28,1)="T"),1,2))</f>
        <v>0</v>
      </c>
      <c r="AJ28" s="1"/>
      <c r="AK28">
        <f>IF(AI28=0,0,IF(AI28=1,MATCH(AJ28,$K$14:$K$39,0),MATCH(AJ28,$K$43:$K$66,0)))</f>
        <v>0</v>
      </c>
      <c r="AL28">
        <v>1</v>
      </c>
      <c r="AM28">
        <f>IF(ISBLANK(AN28),0,IF(OR(LEFT(AN28,1)="B",LEFT(AN28,1)="T"),1,2))</f>
        <v>0</v>
      </c>
      <c r="AN28" s="1"/>
      <c r="AO28">
        <f>IF(AM28=0,0,IF(AM28=1,MATCH(AN28,$K$14:$K$39,0),MATCH(AN28,$K$43:$K$66,0)))</f>
        <v>0</v>
      </c>
      <c r="AP28">
        <v>1</v>
      </c>
      <c r="AQ28">
        <f>IF(ISBLANK(AR28),0,IF(OR(LEFT(AR28,1)="B",LEFT(AR28,1)="T"),1,2))</f>
        <v>0</v>
      </c>
      <c r="AR28" s="1"/>
      <c r="AS28">
        <f>IF(AQ28=0,0,IF(AQ28=1,MATCH(AR28,$K$14:$K$39,0),MATCH(AR28,$K$43:$K$66,0)))</f>
        <v>0</v>
      </c>
      <c r="AT28">
        <v>1</v>
      </c>
    </row>
    <row r="29" spans="1:46" x14ac:dyDescent="0.35">
      <c r="A29">
        <f t="shared" si="14"/>
        <v>4</v>
      </c>
      <c r="B29" s="1" t="s">
        <v>112</v>
      </c>
      <c r="C29">
        <f t="shared" ref="C29:C66" si="16">IF(LEFT(B29,1)="F",2,IF(LEFT(B29,1)="D",2,1))</f>
        <v>1</v>
      </c>
      <c r="D29">
        <f t="shared" si="15"/>
        <v>13</v>
      </c>
      <c r="F29" s="1"/>
      <c r="G29" s="1"/>
      <c r="H29" s="1"/>
      <c r="J29">
        <f>N(J28)+1</f>
        <v>16</v>
      </c>
      <c r="K29" s="1" t="str">
        <f>"TD"&amp;L29</f>
        <v>TDPurch</v>
      </c>
      <c r="L29" s="1" t="s">
        <v>89</v>
      </c>
      <c r="M29" s="1" t="s">
        <v>144</v>
      </c>
      <c r="N29" s="1" t="s">
        <v>69</v>
      </c>
      <c r="O29" s="1" t="s">
        <v>85</v>
      </c>
      <c r="P29" s="1" t="s">
        <v>69</v>
      </c>
      <c r="Q29" s="3" t="s">
        <v>86</v>
      </c>
      <c r="S29">
        <v>1</v>
      </c>
      <c r="T29">
        <v>0</v>
      </c>
      <c r="U29">
        <v>0</v>
      </c>
      <c r="V29">
        <f>COUNTA(X29,AB29,AF29,AJ29,AN29,AR29)</f>
        <v>1</v>
      </c>
      <c r="W29">
        <f>IF(ISBLANK(X29),0,IF(OR(LEFT(X29,1)="B",LEFT(X29,1)="T"),1,2))</f>
        <v>1</v>
      </c>
      <c r="X29" s="1" t="s">
        <v>88</v>
      </c>
      <c r="Y29">
        <f>IF(W29=0,0,IF(W29=1,MATCH(X29,$K$14:$K$39,0),MATCH(X29,$K$43:$K$66,0)))</f>
        <v>4</v>
      </c>
      <c r="Z29">
        <v>1</v>
      </c>
      <c r="AA29">
        <f>IF(ISBLANK(AB29),0,IF(OR(LEFT(AB29,1)="B",LEFT(AB29,1)="T"),1,2))</f>
        <v>0</v>
      </c>
      <c r="AB29" s="1"/>
      <c r="AC29">
        <f>IF(AA29=0,0,IF(AA29=1,MATCH(AB29,$K$14:$K$39,0),MATCH(AB29,$K$43:$K$66,0)))</f>
        <v>0</v>
      </c>
      <c r="AD29">
        <v>1</v>
      </c>
      <c r="AE29">
        <f>IF(ISBLANK(AF29),0,IF(OR(LEFT(AF29,1)="B",LEFT(AF29,1)="T"),1,2))</f>
        <v>0</v>
      </c>
      <c r="AF29" s="1"/>
      <c r="AG29">
        <f>IF(AE29=0,0,IF(AE29=1,MATCH(AF29,$K$14:$K$39,0),MATCH(AF29,$K$43:$K$66,0)))</f>
        <v>0</v>
      </c>
      <c r="AH29">
        <v>1</v>
      </c>
      <c r="AI29">
        <f>IF(ISBLANK(AJ29),0,IF(OR(LEFT(AJ29,1)="B",LEFT(AJ29,1)="T"),1,2))</f>
        <v>0</v>
      </c>
      <c r="AJ29" s="1"/>
      <c r="AK29">
        <f>IF(AI29=0,0,IF(AI29=1,MATCH(AJ29,$K$14:$K$39,0),MATCH(AJ29,$K$43:$K$66,0)))</f>
        <v>0</v>
      </c>
      <c r="AL29">
        <v>1</v>
      </c>
      <c r="AM29">
        <f>IF(ISBLANK(AN29),0,IF(OR(LEFT(AN29,1)="B",LEFT(AN29,1)="T"),1,2))</f>
        <v>0</v>
      </c>
      <c r="AN29" s="1"/>
      <c r="AO29">
        <f>IF(AM29=0,0,IF(AM29=1,MATCH(AN29,$K$14:$K$39,0),MATCH(AN29,$K$43:$K$66,0)))</f>
        <v>0</v>
      </c>
      <c r="AP29">
        <v>1</v>
      </c>
      <c r="AQ29">
        <f>IF(ISBLANK(AR29),0,IF(OR(LEFT(AR29,1)="B",LEFT(AR29,1)="T"),1,2))</f>
        <v>0</v>
      </c>
      <c r="AR29" s="1"/>
      <c r="AS29">
        <f>IF(AQ29=0,0,IF(AQ29=1,MATCH(AR29,$K$14:$K$39,0),MATCH(AR29,$K$43:$K$66,0)))</f>
        <v>0</v>
      </c>
      <c r="AT29">
        <v>1</v>
      </c>
    </row>
    <row r="30" spans="1:46" x14ac:dyDescent="0.35">
      <c r="A30">
        <f t="shared" si="14"/>
        <v>5</v>
      </c>
      <c r="B30" s="1" t="s">
        <v>93</v>
      </c>
      <c r="C30">
        <f t="shared" si="16"/>
        <v>1</v>
      </c>
      <c r="D30">
        <f t="shared" si="15"/>
        <v>16</v>
      </c>
      <c r="F30" s="1"/>
      <c r="G30" s="1"/>
      <c r="H30" s="1"/>
    </row>
    <row r="31" spans="1:46" x14ac:dyDescent="0.35">
      <c r="A31">
        <f t="shared" si="14"/>
        <v>6</v>
      </c>
      <c r="B31" s="1" t="s">
        <v>101</v>
      </c>
      <c r="C31">
        <f t="shared" si="16"/>
        <v>1</v>
      </c>
      <c r="D31">
        <f t="shared" si="15"/>
        <v>15</v>
      </c>
    </row>
    <row r="32" spans="1:46" x14ac:dyDescent="0.35">
      <c r="A32">
        <f>N(A31)+1</f>
        <v>7</v>
      </c>
      <c r="B32" s="1" t="s">
        <v>107</v>
      </c>
      <c r="C32">
        <f t="shared" si="16"/>
        <v>1</v>
      </c>
      <c r="D32">
        <f t="shared" si="15"/>
        <v>14</v>
      </c>
    </row>
    <row r="33" spans="1:45" x14ac:dyDescent="0.35">
      <c r="A33">
        <f>N(A32)+1</f>
        <v>8</v>
      </c>
      <c r="B33" s="1" t="s">
        <v>121</v>
      </c>
      <c r="C33">
        <f>IF(LEFT(B33,1)="F",2,IF(LEFT(B33,1)="D",2,1))</f>
        <v>1</v>
      </c>
      <c r="D33">
        <f t="shared" si="15"/>
        <v>9</v>
      </c>
    </row>
    <row r="34" spans="1:45" x14ac:dyDescent="0.35">
      <c r="A34">
        <f>N(A33)+1</f>
        <v>9</v>
      </c>
      <c r="B34" s="1" t="s">
        <v>145</v>
      </c>
      <c r="C34">
        <f t="shared" si="16"/>
        <v>2</v>
      </c>
      <c r="D34">
        <f t="shared" si="15"/>
        <v>7</v>
      </c>
    </row>
    <row r="35" spans="1:45" x14ac:dyDescent="0.35">
      <c r="A35">
        <f>N(A34)+1</f>
        <v>10</v>
      </c>
      <c r="B35" s="1" t="s">
        <v>146</v>
      </c>
      <c r="C35">
        <f>IF(LEFT(B35,1)="F",2,IF(LEFT(B35,1)="D",2,1))</f>
        <v>2</v>
      </c>
      <c r="D35">
        <f t="shared" si="15"/>
        <v>8</v>
      </c>
    </row>
    <row r="36" spans="1:45" x14ac:dyDescent="0.35">
      <c r="A36">
        <f t="shared" ref="A36:A66" si="17">N(A35)+1</f>
        <v>11</v>
      </c>
      <c r="B36" s="1" t="s">
        <v>148</v>
      </c>
      <c r="C36">
        <f>IF(LEFT(B36,1)="F",2,IF(LEFT(B36,1)="D",2,1))</f>
        <v>2</v>
      </c>
      <c r="D36">
        <f t="shared" si="15"/>
        <v>9</v>
      </c>
    </row>
    <row r="37" spans="1:45" x14ac:dyDescent="0.35">
      <c r="A37">
        <f t="shared" si="17"/>
        <v>12</v>
      </c>
      <c r="B37" s="1" t="s">
        <v>120</v>
      </c>
      <c r="C37">
        <f t="shared" si="16"/>
        <v>2</v>
      </c>
      <c r="D37">
        <f t="shared" si="15"/>
        <v>10</v>
      </c>
      <c r="F37" s="1"/>
    </row>
    <row r="38" spans="1:45" x14ac:dyDescent="0.35">
      <c r="A38">
        <f t="shared" si="17"/>
        <v>13</v>
      </c>
      <c r="B38" s="1" t="s">
        <v>114</v>
      </c>
      <c r="C38">
        <f t="shared" si="16"/>
        <v>2</v>
      </c>
      <c r="D38">
        <f t="shared" si="15"/>
        <v>5</v>
      </c>
    </row>
    <row r="39" spans="1:45" x14ac:dyDescent="0.35">
      <c r="A39">
        <f t="shared" si="17"/>
        <v>14</v>
      </c>
      <c r="B39" s="1" t="s">
        <v>135</v>
      </c>
      <c r="C39">
        <f t="shared" si="16"/>
        <v>2</v>
      </c>
      <c r="D39">
        <f t="shared" si="15"/>
        <v>4</v>
      </c>
      <c r="R39">
        <v>14</v>
      </c>
    </row>
    <row r="40" spans="1:45" x14ac:dyDescent="0.35">
      <c r="A40">
        <f t="shared" si="17"/>
        <v>15</v>
      </c>
      <c r="B40" s="1" t="s">
        <v>113</v>
      </c>
      <c r="C40">
        <f t="shared" si="16"/>
        <v>2</v>
      </c>
      <c r="D40">
        <f t="shared" si="15"/>
        <v>23</v>
      </c>
      <c r="F40" t="s">
        <v>149</v>
      </c>
    </row>
    <row r="41" spans="1:45" x14ac:dyDescent="0.35">
      <c r="A41">
        <f t="shared" si="17"/>
        <v>16</v>
      </c>
      <c r="B41" s="1" t="s">
        <v>72</v>
      </c>
      <c r="C41">
        <f t="shared" si="16"/>
        <v>1</v>
      </c>
      <c r="D41">
        <f t="shared" si="15"/>
        <v>7</v>
      </c>
      <c r="F41" t="s">
        <v>4</v>
      </c>
      <c r="G41" s="1" t="s">
        <v>27</v>
      </c>
      <c r="J41" t="s">
        <v>150</v>
      </c>
    </row>
    <row r="42" spans="1:45" x14ac:dyDescent="0.35">
      <c r="A42">
        <f t="shared" si="17"/>
        <v>17</v>
      </c>
      <c r="B42" s="1" t="s">
        <v>119</v>
      </c>
      <c r="C42">
        <f t="shared" si="16"/>
        <v>2</v>
      </c>
      <c r="D42">
        <f t="shared" si="15"/>
        <v>24</v>
      </c>
      <c r="F42" s="1" t="s">
        <v>32</v>
      </c>
      <c r="G42">
        <f>COUNTA(J43:J66)</f>
        <v>24</v>
      </c>
      <c r="J42" s="2" t="s">
        <v>9</v>
      </c>
      <c r="K42" s="2" t="s">
        <v>10</v>
      </c>
      <c r="L42" s="2" t="s">
        <v>11</v>
      </c>
      <c r="M42" s="2" t="s">
        <v>12</v>
      </c>
      <c r="N42" s="2" t="s">
        <v>151</v>
      </c>
      <c r="O42" s="2" t="s">
        <v>152</v>
      </c>
      <c r="P42" s="2" t="s">
        <v>153</v>
      </c>
      <c r="Q42" s="2" t="s">
        <v>13</v>
      </c>
      <c r="R42" s="2" t="s">
        <v>154</v>
      </c>
      <c r="S42" s="2" t="s">
        <v>15</v>
      </c>
      <c r="T42" s="2" t="s">
        <v>37</v>
      </c>
      <c r="U42" s="2" t="s">
        <v>38</v>
      </c>
      <c r="V42" s="2" t="s">
        <v>39</v>
      </c>
      <c r="W42" s="2" t="s">
        <v>40</v>
      </c>
      <c r="X42" s="2" t="s">
        <v>41</v>
      </c>
      <c r="Y42" s="2" t="s">
        <v>42</v>
      </c>
      <c r="Z42" s="2" t="s">
        <v>43</v>
      </c>
      <c r="AA42" s="2" t="s">
        <v>44</v>
      </c>
      <c r="AB42" s="2" t="s">
        <v>45</v>
      </c>
      <c r="AC42" s="2" t="s">
        <v>46</v>
      </c>
      <c r="AD42" s="2" t="s">
        <v>47</v>
      </c>
      <c r="AE42" s="2" t="s">
        <v>48</v>
      </c>
      <c r="AF42" s="2" t="s">
        <v>49</v>
      </c>
      <c r="AG42" s="2" t="s">
        <v>50</v>
      </c>
      <c r="AH42" s="2" t="s">
        <v>51</v>
      </c>
      <c r="AI42" s="2" t="s">
        <v>52</v>
      </c>
      <c r="AJ42" s="2" t="s">
        <v>53</v>
      </c>
      <c r="AK42" s="2" t="s">
        <v>54</v>
      </c>
      <c r="AL42" s="2" t="s">
        <v>55</v>
      </c>
      <c r="AM42" s="2" t="s">
        <v>56</v>
      </c>
      <c r="AN42" s="2" t="s">
        <v>57</v>
      </c>
      <c r="AO42" s="2" t="s">
        <v>58</v>
      </c>
      <c r="AP42" s="2" t="s">
        <v>59</v>
      </c>
      <c r="AQ42" s="2" t="s">
        <v>60</v>
      </c>
      <c r="AR42" s="2" t="s">
        <v>61</v>
      </c>
      <c r="AS42" s="2" t="s">
        <v>62</v>
      </c>
    </row>
    <row r="43" spans="1:45" x14ac:dyDescent="0.35">
      <c r="A43">
        <f t="shared" si="17"/>
        <v>18</v>
      </c>
      <c r="B43" s="1" t="s">
        <v>71</v>
      </c>
      <c r="C43">
        <f t="shared" si="16"/>
        <v>1</v>
      </c>
      <c r="D43">
        <f t="shared" si="15"/>
        <v>8</v>
      </c>
      <c r="F43" s="1" t="s">
        <v>63</v>
      </c>
      <c r="G43">
        <v>19</v>
      </c>
      <c r="H43" s="1"/>
      <c r="J43">
        <f t="shared" ref="J43:J61" si="18">N(J42)+1</f>
        <v>1</v>
      </c>
      <c r="K43" s="1" t="s">
        <v>95</v>
      </c>
      <c r="L43" s="1" t="s">
        <v>89</v>
      </c>
      <c r="M43" s="1" t="s">
        <v>155</v>
      </c>
      <c r="N43" s="1" t="s">
        <v>156</v>
      </c>
      <c r="O43" s="1" t="s">
        <v>157</v>
      </c>
      <c r="P43" s="1" t="s">
        <v>158</v>
      </c>
      <c r="Q43" s="4" t="s">
        <v>159</v>
      </c>
      <c r="R43">
        <f>$R$39</f>
        <v>14</v>
      </c>
      <c r="S43">
        <v>1</v>
      </c>
      <c r="T43">
        <v>3</v>
      </c>
      <c r="U43">
        <f t="shared" ref="U43:U66" si="19">COUNTA(W43,AA43,AE43,AI43,AM43,AQ43)</f>
        <v>0</v>
      </c>
      <c r="V43">
        <f t="shared" ref="V43:V66" si="20">IF(ISBLANK(W43),0,IF(OR(LEFT(W43,1)="B",LEFT(W43,1)="T"),1,2))</f>
        <v>0</v>
      </c>
      <c r="W43" s="1"/>
      <c r="X43">
        <f t="shared" ref="X43:X66" si="21">IF(V43=0,0,IF(V43=1,MATCH(W43,$K$14:$K$39,0),MATCH(W43,$K$43:$K$66,0)))</f>
        <v>0</v>
      </c>
      <c r="Y43">
        <v>1</v>
      </c>
      <c r="Z43">
        <f t="shared" ref="Z43:Z66" si="22">IF(ISBLANK(AA43),0,IF(OR(LEFT(AA43,1)="B",LEFT(AA43,1)="T"),1,2))</f>
        <v>0</v>
      </c>
      <c r="AA43" s="1"/>
      <c r="AB43">
        <f t="shared" ref="AB43:AB66" si="23">IF(Z43=0,0,IF(Z43=1,MATCH(AA43,$K$14:$K$39,0),MATCH(AA43,$K$43:$K$66,0)))</f>
        <v>0</v>
      </c>
      <c r="AC43">
        <v>1</v>
      </c>
      <c r="AD43">
        <f t="shared" ref="AD43:AD66" si="24">IF(ISBLANK(AE43),0,IF(OR(LEFT(AE43,1)="B",LEFT(AE43,1)="T"),1,2))</f>
        <v>0</v>
      </c>
      <c r="AE43" s="1"/>
      <c r="AF43">
        <f t="shared" ref="AF43:AF66" si="25">IF(AD43=0,0,IF(AD43=1,MATCH(AE43,$K$14:$K$39,0),MATCH(AE43,$K$43:$K$66,0)))</f>
        <v>0</v>
      </c>
      <c r="AG43">
        <v>1</v>
      </c>
      <c r="AH43">
        <f t="shared" ref="AH43:AH66" si="26">IF(ISBLANK(AI43),0,IF(OR(LEFT(AI43,1)="B",LEFT(AI43,1)="T"),1,2))</f>
        <v>0</v>
      </c>
      <c r="AI43" s="1"/>
      <c r="AJ43">
        <f t="shared" ref="AJ43:AJ66" si="27">IF(AH43=0,0,IF(AH43=1,MATCH(AI43,$K$14:$K$39,0),MATCH(AI43,$K$43:$K$66,0)))</f>
        <v>0</v>
      </c>
      <c r="AK43">
        <v>1</v>
      </c>
      <c r="AL43">
        <f t="shared" ref="AL43:AL66" si="28">IF(ISBLANK(AM43),0,IF(OR(LEFT(AM43,1)="B",LEFT(AM43,1)="T"),1,2))</f>
        <v>0</v>
      </c>
      <c r="AM43" s="1"/>
      <c r="AN43">
        <f t="shared" ref="AN43:AN66" si="29">IF(AL43=0,0,IF(AL43=1,MATCH(AM43,$K$14:$K$39,0),MATCH(AM43,$K$43:$K$66,0)))</f>
        <v>0</v>
      </c>
      <c r="AO43">
        <v>1</v>
      </c>
      <c r="AP43">
        <f t="shared" ref="AP43:AP66" si="30">IF(ISBLANK(AQ43),0,IF(OR(LEFT(AQ43,1)="B",LEFT(AQ43,1)="T"),1,2))</f>
        <v>0</v>
      </c>
      <c r="AQ43" s="1"/>
      <c r="AR43">
        <f t="shared" ref="AR43:AR66" si="31">IF(AP43=0,0,IF(AP43=1,MATCH(AQ43,$K$14:$K$39,0),MATCH(AQ43,$K$43:$K$66,0)))</f>
        <v>0</v>
      </c>
      <c r="AS43">
        <v>1</v>
      </c>
    </row>
    <row r="44" spans="1:45" x14ac:dyDescent="0.35">
      <c r="A44">
        <f t="shared" si="17"/>
        <v>19</v>
      </c>
      <c r="B44" s="1" t="s">
        <v>87</v>
      </c>
      <c r="C44">
        <f t="shared" si="16"/>
        <v>2</v>
      </c>
      <c r="D44">
        <f t="shared" si="15"/>
        <v>6</v>
      </c>
      <c r="F44" s="1" t="s">
        <v>75</v>
      </c>
      <c r="G44">
        <v>16</v>
      </c>
      <c r="H44" s="1"/>
      <c r="J44">
        <f t="shared" si="18"/>
        <v>2</v>
      </c>
      <c r="K44" s="1" t="s">
        <v>103</v>
      </c>
      <c r="L44" s="1" t="s">
        <v>98</v>
      </c>
      <c r="M44" s="1" t="s">
        <v>99</v>
      </c>
      <c r="N44" s="1" t="s">
        <v>156</v>
      </c>
      <c r="O44" s="1" t="s">
        <v>157</v>
      </c>
      <c r="P44" s="1" t="s">
        <v>158</v>
      </c>
      <c r="Q44" s="1" t="s">
        <v>160</v>
      </c>
      <c r="R44">
        <f>$R$39</f>
        <v>14</v>
      </c>
      <c r="S44">
        <v>1</v>
      </c>
      <c r="T44">
        <v>0.4</v>
      </c>
      <c r="U44">
        <f t="shared" si="19"/>
        <v>0</v>
      </c>
      <c r="V44">
        <f t="shared" si="20"/>
        <v>0</v>
      </c>
      <c r="W44" s="1"/>
      <c r="X44">
        <f t="shared" si="21"/>
        <v>0</v>
      </c>
      <c r="Y44">
        <v>1</v>
      </c>
      <c r="Z44">
        <f t="shared" si="22"/>
        <v>0</v>
      </c>
      <c r="AA44" s="1"/>
      <c r="AB44">
        <f t="shared" si="23"/>
        <v>0</v>
      </c>
      <c r="AC44">
        <v>1</v>
      </c>
      <c r="AD44">
        <f t="shared" si="24"/>
        <v>0</v>
      </c>
      <c r="AE44" s="1"/>
      <c r="AF44">
        <f t="shared" si="25"/>
        <v>0</v>
      </c>
      <c r="AG44">
        <v>1</v>
      </c>
      <c r="AH44">
        <f t="shared" si="26"/>
        <v>0</v>
      </c>
      <c r="AI44" s="1"/>
      <c r="AJ44">
        <f t="shared" si="27"/>
        <v>0</v>
      </c>
      <c r="AK44">
        <v>1</v>
      </c>
      <c r="AL44">
        <f t="shared" si="28"/>
        <v>0</v>
      </c>
      <c r="AM44" s="1"/>
      <c r="AN44">
        <f t="shared" si="29"/>
        <v>0</v>
      </c>
      <c r="AO44">
        <v>1</v>
      </c>
      <c r="AP44">
        <f t="shared" si="30"/>
        <v>0</v>
      </c>
      <c r="AQ44" s="1"/>
      <c r="AR44">
        <f t="shared" si="31"/>
        <v>0</v>
      </c>
      <c r="AS44">
        <v>1</v>
      </c>
    </row>
    <row r="45" spans="1:45" x14ac:dyDescent="0.35">
      <c r="A45">
        <f t="shared" si="17"/>
        <v>20</v>
      </c>
      <c r="B45" s="1" t="s">
        <v>81</v>
      </c>
      <c r="C45">
        <f t="shared" si="16"/>
        <v>1</v>
      </c>
      <c r="D45">
        <f t="shared" si="15"/>
        <v>3</v>
      </c>
      <c r="F45" s="1" t="s">
        <v>8</v>
      </c>
      <c r="J45">
        <f t="shared" si="18"/>
        <v>3</v>
      </c>
      <c r="K45" s="1" t="s">
        <v>109</v>
      </c>
      <c r="L45" s="1" t="s">
        <v>104</v>
      </c>
      <c r="M45" s="1" t="s">
        <v>161</v>
      </c>
      <c r="N45" s="1" t="s">
        <v>156</v>
      </c>
      <c r="O45" s="1" t="s">
        <v>157</v>
      </c>
      <c r="P45" s="1" t="s">
        <v>158</v>
      </c>
      <c r="Q45" s="1" t="s">
        <v>162</v>
      </c>
      <c r="R45">
        <f>$R$39</f>
        <v>14</v>
      </c>
      <c r="S45">
        <v>1</v>
      </c>
      <c r="T45">
        <v>0.4</v>
      </c>
      <c r="U45">
        <f t="shared" si="19"/>
        <v>0</v>
      </c>
      <c r="V45">
        <f t="shared" si="20"/>
        <v>0</v>
      </c>
      <c r="W45" s="1"/>
      <c r="X45">
        <f t="shared" si="21"/>
        <v>0</v>
      </c>
      <c r="Y45">
        <v>1</v>
      </c>
      <c r="Z45">
        <f t="shared" si="22"/>
        <v>0</v>
      </c>
      <c r="AA45" s="1"/>
      <c r="AB45">
        <f t="shared" si="23"/>
        <v>0</v>
      </c>
      <c r="AC45">
        <v>1</v>
      </c>
      <c r="AD45">
        <f t="shared" si="24"/>
        <v>0</v>
      </c>
      <c r="AE45" s="1"/>
      <c r="AF45">
        <f t="shared" si="25"/>
        <v>0</v>
      </c>
      <c r="AG45">
        <v>1</v>
      </c>
      <c r="AH45">
        <f t="shared" si="26"/>
        <v>0</v>
      </c>
      <c r="AI45" s="1"/>
      <c r="AJ45">
        <f t="shared" si="27"/>
        <v>0</v>
      </c>
      <c r="AK45">
        <v>1</v>
      </c>
      <c r="AL45">
        <f t="shared" si="28"/>
        <v>0</v>
      </c>
      <c r="AM45" s="1"/>
      <c r="AN45">
        <f t="shared" si="29"/>
        <v>0</v>
      </c>
      <c r="AO45">
        <v>1</v>
      </c>
      <c r="AP45">
        <f t="shared" si="30"/>
        <v>0</v>
      </c>
      <c r="AQ45" s="1"/>
      <c r="AR45">
        <f t="shared" si="31"/>
        <v>0</v>
      </c>
      <c r="AS45">
        <v>1</v>
      </c>
    </row>
    <row r="46" spans="1:45" x14ac:dyDescent="0.35">
      <c r="A46">
        <f t="shared" si="17"/>
        <v>21</v>
      </c>
      <c r="B46" s="1" t="s">
        <v>134</v>
      </c>
      <c r="C46">
        <f t="shared" si="16"/>
        <v>2</v>
      </c>
      <c r="D46">
        <f t="shared" si="15"/>
        <v>17</v>
      </c>
      <c r="F46" s="2" t="s">
        <v>1</v>
      </c>
      <c r="G46" s="2" t="s">
        <v>14</v>
      </c>
      <c r="H46" s="2" t="s">
        <v>18</v>
      </c>
      <c r="J46">
        <f t="shared" si="18"/>
        <v>4</v>
      </c>
      <c r="K46" s="1" t="s">
        <v>135</v>
      </c>
      <c r="L46" s="1" t="s">
        <v>163</v>
      </c>
      <c r="M46" s="1" t="s">
        <v>164</v>
      </c>
      <c r="N46" s="1" t="s">
        <v>156</v>
      </c>
      <c r="O46" s="1" t="s">
        <v>165</v>
      </c>
      <c r="P46" s="1" t="s">
        <v>166</v>
      </c>
      <c r="Q46" s="1" t="s">
        <v>167</v>
      </c>
      <c r="R46">
        <f>$R$39</f>
        <v>14</v>
      </c>
      <c r="S46">
        <v>1</v>
      </c>
      <c r="T46">
        <v>3</v>
      </c>
      <c r="U46">
        <f t="shared" si="19"/>
        <v>0</v>
      </c>
      <c r="V46">
        <f t="shared" si="20"/>
        <v>0</v>
      </c>
      <c r="W46" s="1"/>
      <c r="X46">
        <f t="shared" si="21"/>
        <v>0</v>
      </c>
      <c r="Y46">
        <v>1</v>
      </c>
      <c r="Z46">
        <f t="shared" si="22"/>
        <v>0</v>
      </c>
      <c r="AA46" s="1"/>
      <c r="AB46">
        <f t="shared" si="23"/>
        <v>0</v>
      </c>
      <c r="AC46">
        <v>1</v>
      </c>
      <c r="AD46">
        <f t="shared" si="24"/>
        <v>0</v>
      </c>
      <c r="AE46" s="1"/>
      <c r="AF46">
        <f t="shared" si="25"/>
        <v>0</v>
      </c>
      <c r="AG46">
        <v>1</v>
      </c>
      <c r="AH46">
        <f t="shared" si="26"/>
        <v>0</v>
      </c>
      <c r="AI46" s="1"/>
      <c r="AJ46">
        <f t="shared" si="27"/>
        <v>0</v>
      </c>
      <c r="AK46">
        <v>1</v>
      </c>
      <c r="AL46">
        <f t="shared" si="28"/>
        <v>0</v>
      </c>
      <c r="AM46" s="1"/>
      <c r="AN46">
        <f t="shared" si="29"/>
        <v>0</v>
      </c>
      <c r="AO46">
        <v>1</v>
      </c>
      <c r="AP46">
        <f t="shared" si="30"/>
        <v>0</v>
      </c>
      <c r="AQ46" s="1"/>
      <c r="AR46">
        <f t="shared" si="31"/>
        <v>0</v>
      </c>
      <c r="AS46">
        <v>1</v>
      </c>
    </row>
    <row r="47" spans="1:45" x14ac:dyDescent="0.35">
      <c r="A47">
        <f t="shared" si="17"/>
        <v>22</v>
      </c>
      <c r="B47" s="1" t="s">
        <v>130</v>
      </c>
      <c r="C47">
        <f t="shared" si="16"/>
        <v>1</v>
      </c>
      <c r="D47">
        <f t="shared" si="15"/>
        <v>11</v>
      </c>
      <c r="F47" s="1" t="s">
        <v>24</v>
      </c>
      <c r="G47" s="1" t="s">
        <v>22</v>
      </c>
      <c r="H47" s="1" t="s">
        <v>168</v>
      </c>
      <c r="J47">
        <f t="shared" si="18"/>
        <v>5</v>
      </c>
      <c r="K47" s="1" t="s">
        <v>114</v>
      </c>
      <c r="L47" s="1" t="s">
        <v>110</v>
      </c>
      <c r="M47" s="1" t="s">
        <v>110</v>
      </c>
      <c r="N47" s="1" t="s">
        <v>156</v>
      </c>
      <c r="O47" s="1" t="s">
        <v>157</v>
      </c>
      <c r="P47" s="1" t="s">
        <v>166</v>
      </c>
      <c r="Q47" s="1" t="s">
        <v>169</v>
      </c>
      <c r="R47">
        <f>$R$39+2</f>
        <v>16</v>
      </c>
      <c r="S47">
        <v>0</v>
      </c>
      <c r="T47">
        <v>0</v>
      </c>
      <c r="U47">
        <f t="shared" si="19"/>
        <v>0</v>
      </c>
      <c r="V47">
        <f t="shared" si="20"/>
        <v>0</v>
      </c>
      <c r="W47" s="1"/>
      <c r="X47">
        <f t="shared" si="21"/>
        <v>0</v>
      </c>
      <c r="Y47">
        <v>1</v>
      </c>
      <c r="Z47">
        <f t="shared" si="22"/>
        <v>0</v>
      </c>
      <c r="AA47" s="1"/>
      <c r="AB47">
        <f t="shared" si="23"/>
        <v>0</v>
      </c>
      <c r="AC47">
        <v>1</v>
      </c>
      <c r="AD47">
        <f t="shared" si="24"/>
        <v>0</v>
      </c>
      <c r="AE47" s="1"/>
      <c r="AF47">
        <f t="shared" si="25"/>
        <v>0</v>
      </c>
      <c r="AG47">
        <v>1</v>
      </c>
      <c r="AH47">
        <f t="shared" si="26"/>
        <v>0</v>
      </c>
      <c r="AI47" s="1"/>
      <c r="AJ47">
        <f t="shared" si="27"/>
        <v>0</v>
      </c>
      <c r="AK47">
        <v>1</v>
      </c>
      <c r="AL47">
        <f t="shared" si="28"/>
        <v>0</v>
      </c>
      <c r="AM47" s="1"/>
      <c r="AN47">
        <f t="shared" si="29"/>
        <v>0</v>
      </c>
      <c r="AO47">
        <v>1</v>
      </c>
      <c r="AP47">
        <f t="shared" si="30"/>
        <v>0</v>
      </c>
      <c r="AQ47" s="1"/>
      <c r="AR47">
        <f t="shared" si="31"/>
        <v>0</v>
      </c>
      <c r="AS47">
        <v>1</v>
      </c>
    </row>
    <row r="48" spans="1:45" x14ac:dyDescent="0.35">
      <c r="A48">
        <f t="shared" si="17"/>
        <v>23</v>
      </c>
      <c r="B48" s="1" t="s">
        <v>109</v>
      </c>
      <c r="C48">
        <f t="shared" si="16"/>
        <v>2</v>
      </c>
      <c r="D48">
        <f t="shared" si="15"/>
        <v>3</v>
      </c>
      <c r="J48">
        <f t="shared" si="18"/>
        <v>6</v>
      </c>
      <c r="K48" s="1" t="s">
        <v>87</v>
      </c>
      <c r="L48" s="1" t="s">
        <v>170</v>
      </c>
      <c r="M48" s="1" t="s">
        <v>171</v>
      </c>
      <c r="N48" s="1" t="s">
        <v>156</v>
      </c>
      <c r="O48" s="1" t="s">
        <v>157</v>
      </c>
      <c r="P48" s="1" t="s">
        <v>166</v>
      </c>
      <c r="Q48" s="1" t="s">
        <v>172</v>
      </c>
      <c r="R48">
        <f>$R$39+1</f>
        <v>15</v>
      </c>
      <c r="S48">
        <v>0</v>
      </c>
      <c r="T48">
        <v>0</v>
      </c>
      <c r="U48">
        <f t="shared" si="19"/>
        <v>0</v>
      </c>
      <c r="V48">
        <f t="shared" si="20"/>
        <v>0</v>
      </c>
      <c r="W48" s="1"/>
      <c r="X48">
        <f t="shared" si="21"/>
        <v>0</v>
      </c>
      <c r="Y48">
        <v>1</v>
      </c>
      <c r="Z48">
        <f t="shared" si="22"/>
        <v>0</v>
      </c>
      <c r="AA48" s="1"/>
      <c r="AB48">
        <f t="shared" si="23"/>
        <v>0</v>
      </c>
      <c r="AC48">
        <v>1</v>
      </c>
      <c r="AD48">
        <f t="shared" si="24"/>
        <v>0</v>
      </c>
      <c r="AE48" s="1"/>
      <c r="AF48">
        <f t="shared" si="25"/>
        <v>0</v>
      </c>
      <c r="AG48">
        <v>1</v>
      </c>
      <c r="AH48">
        <f t="shared" si="26"/>
        <v>0</v>
      </c>
      <c r="AI48" s="1"/>
      <c r="AJ48">
        <f t="shared" si="27"/>
        <v>0</v>
      </c>
      <c r="AK48">
        <v>1</v>
      </c>
      <c r="AL48">
        <f t="shared" si="28"/>
        <v>0</v>
      </c>
      <c r="AM48" s="1"/>
      <c r="AN48">
        <f t="shared" si="29"/>
        <v>0</v>
      </c>
      <c r="AO48">
        <v>1</v>
      </c>
      <c r="AP48">
        <f t="shared" si="30"/>
        <v>0</v>
      </c>
      <c r="AQ48" s="1"/>
      <c r="AR48">
        <f t="shared" si="31"/>
        <v>0</v>
      </c>
      <c r="AS48">
        <v>1</v>
      </c>
    </row>
    <row r="49" spans="1:45" x14ac:dyDescent="0.35">
      <c r="A49">
        <f t="shared" si="17"/>
        <v>24</v>
      </c>
      <c r="B49" s="1" t="s">
        <v>108</v>
      </c>
      <c r="C49">
        <f t="shared" si="16"/>
        <v>2</v>
      </c>
      <c r="D49">
        <f t="shared" si="15"/>
        <v>20</v>
      </c>
      <c r="F49" s="1"/>
      <c r="J49">
        <f t="shared" si="18"/>
        <v>7</v>
      </c>
      <c r="K49" s="1" t="s">
        <v>145</v>
      </c>
      <c r="L49" s="1" t="s">
        <v>173</v>
      </c>
      <c r="M49" s="1" t="s">
        <v>174</v>
      </c>
      <c r="N49" s="1" t="s">
        <v>156</v>
      </c>
      <c r="O49" s="1" t="s">
        <v>157</v>
      </c>
      <c r="P49" s="3" t="s">
        <v>147</v>
      </c>
      <c r="Q49" s="1" t="s">
        <v>175</v>
      </c>
      <c r="R49">
        <v>1</v>
      </c>
      <c r="S49">
        <v>0</v>
      </c>
      <c r="T49">
        <v>0</v>
      </c>
      <c r="U49">
        <f t="shared" si="19"/>
        <v>1</v>
      </c>
      <c r="V49">
        <f t="shared" si="20"/>
        <v>1</v>
      </c>
      <c r="W49" s="1" t="s">
        <v>74</v>
      </c>
      <c r="X49">
        <f t="shared" si="21"/>
        <v>4</v>
      </c>
      <c r="Y49">
        <v>1</v>
      </c>
      <c r="Z49">
        <f t="shared" si="22"/>
        <v>0</v>
      </c>
      <c r="AA49" s="1"/>
      <c r="AB49">
        <f t="shared" si="23"/>
        <v>0</v>
      </c>
      <c r="AC49">
        <v>1</v>
      </c>
      <c r="AD49">
        <f t="shared" si="24"/>
        <v>0</v>
      </c>
      <c r="AE49" s="1"/>
      <c r="AF49">
        <f t="shared" si="25"/>
        <v>0</v>
      </c>
      <c r="AG49">
        <v>1</v>
      </c>
      <c r="AH49">
        <f t="shared" si="26"/>
        <v>0</v>
      </c>
      <c r="AI49" s="1"/>
      <c r="AJ49">
        <f t="shared" si="27"/>
        <v>0</v>
      </c>
      <c r="AK49">
        <v>1</v>
      </c>
      <c r="AL49">
        <f t="shared" si="28"/>
        <v>0</v>
      </c>
      <c r="AM49" s="1"/>
      <c r="AN49">
        <f t="shared" si="29"/>
        <v>0</v>
      </c>
      <c r="AO49">
        <v>1</v>
      </c>
      <c r="AP49">
        <f t="shared" si="30"/>
        <v>0</v>
      </c>
      <c r="AQ49" s="1"/>
      <c r="AR49">
        <f t="shared" si="31"/>
        <v>0</v>
      </c>
      <c r="AS49">
        <v>1</v>
      </c>
    </row>
    <row r="50" spans="1:45" x14ac:dyDescent="0.35">
      <c r="A50">
        <f t="shared" si="17"/>
        <v>25</v>
      </c>
      <c r="B50" s="1" t="s">
        <v>80</v>
      </c>
      <c r="C50">
        <f t="shared" si="16"/>
        <v>1</v>
      </c>
      <c r="D50">
        <f t="shared" si="15"/>
        <v>6</v>
      </c>
      <c r="F50" s="1"/>
      <c r="J50">
        <f t="shared" si="18"/>
        <v>8</v>
      </c>
      <c r="K50" s="1" t="s">
        <v>146</v>
      </c>
      <c r="L50" s="1" t="s">
        <v>176</v>
      </c>
      <c r="M50" s="1" t="s">
        <v>177</v>
      </c>
      <c r="N50" s="1" t="s">
        <v>156</v>
      </c>
      <c r="O50" s="1" t="s">
        <v>157</v>
      </c>
      <c r="P50" s="3" t="s">
        <v>147</v>
      </c>
      <c r="Q50" s="1" t="s">
        <v>178</v>
      </c>
      <c r="R50">
        <v>1</v>
      </c>
      <c r="S50">
        <v>0</v>
      </c>
      <c r="T50">
        <v>0</v>
      </c>
      <c r="U50">
        <f t="shared" si="19"/>
        <v>1</v>
      </c>
      <c r="V50">
        <f t="shared" si="20"/>
        <v>1</v>
      </c>
      <c r="W50" s="1" t="s">
        <v>97</v>
      </c>
      <c r="X50">
        <f t="shared" si="21"/>
        <v>5</v>
      </c>
      <c r="Y50">
        <v>1</v>
      </c>
      <c r="Z50">
        <f t="shared" si="22"/>
        <v>0</v>
      </c>
      <c r="AA50" s="1"/>
      <c r="AB50">
        <f t="shared" si="23"/>
        <v>0</v>
      </c>
      <c r="AC50">
        <v>1</v>
      </c>
      <c r="AD50">
        <f t="shared" si="24"/>
        <v>0</v>
      </c>
      <c r="AE50" s="1"/>
      <c r="AF50">
        <f t="shared" si="25"/>
        <v>0</v>
      </c>
      <c r="AG50">
        <v>1</v>
      </c>
      <c r="AH50">
        <f t="shared" si="26"/>
        <v>0</v>
      </c>
      <c r="AI50" s="1"/>
      <c r="AJ50">
        <f t="shared" si="27"/>
        <v>0</v>
      </c>
      <c r="AK50">
        <v>1</v>
      </c>
      <c r="AL50">
        <f t="shared" si="28"/>
        <v>0</v>
      </c>
      <c r="AM50" s="1"/>
      <c r="AN50">
        <f t="shared" si="29"/>
        <v>0</v>
      </c>
      <c r="AO50">
        <v>1</v>
      </c>
      <c r="AP50">
        <f t="shared" si="30"/>
        <v>0</v>
      </c>
      <c r="AQ50" s="1"/>
      <c r="AR50">
        <f t="shared" si="31"/>
        <v>0</v>
      </c>
      <c r="AS50">
        <v>1</v>
      </c>
    </row>
    <row r="51" spans="1:45" x14ac:dyDescent="0.35">
      <c r="A51">
        <f t="shared" si="17"/>
        <v>26</v>
      </c>
      <c r="B51" s="1" t="s">
        <v>103</v>
      </c>
      <c r="C51">
        <f t="shared" si="16"/>
        <v>2</v>
      </c>
      <c r="D51">
        <f t="shared" si="15"/>
        <v>2</v>
      </c>
      <c r="F51" s="1"/>
      <c r="G51" s="1"/>
      <c r="H51" s="1"/>
      <c r="J51">
        <f t="shared" si="18"/>
        <v>9</v>
      </c>
      <c r="K51" s="1" t="s">
        <v>148</v>
      </c>
      <c r="L51" s="1" t="s">
        <v>179</v>
      </c>
      <c r="M51" s="1" t="s">
        <v>177</v>
      </c>
      <c r="N51" s="1" t="s">
        <v>156</v>
      </c>
      <c r="O51" s="1" t="s">
        <v>157</v>
      </c>
      <c r="P51" s="3" t="s">
        <v>147</v>
      </c>
      <c r="Q51" s="1" t="s">
        <v>180</v>
      </c>
      <c r="R51">
        <v>1</v>
      </c>
      <c r="S51">
        <v>0</v>
      </c>
      <c r="T51">
        <v>0</v>
      </c>
      <c r="U51">
        <f t="shared" si="19"/>
        <v>1</v>
      </c>
      <c r="V51">
        <f t="shared" si="20"/>
        <v>1</v>
      </c>
      <c r="W51" s="1" t="s">
        <v>73</v>
      </c>
      <c r="X51">
        <f t="shared" si="21"/>
        <v>6</v>
      </c>
      <c r="Y51">
        <v>1</v>
      </c>
      <c r="Z51">
        <f t="shared" si="22"/>
        <v>0</v>
      </c>
      <c r="AA51" s="1"/>
      <c r="AB51">
        <f t="shared" si="23"/>
        <v>0</v>
      </c>
      <c r="AC51">
        <v>1</v>
      </c>
      <c r="AD51">
        <f t="shared" si="24"/>
        <v>0</v>
      </c>
      <c r="AE51" s="1"/>
      <c r="AF51">
        <f t="shared" si="25"/>
        <v>0</v>
      </c>
      <c r="AG51">
        <v>1</v>
      </c>
      <c r="AH51">
        <f t="shared" si="26"/>
        <v>0</v>
      </c>
      <c r="AI51" s="1"/>
      <c r="AJ51">
        <f t="shared" si="27"/>
        <v>0</v>
      </c>
      <c r="AK51">
        <v>1</v>
      </c>
      <c r="AL51">
        <f t="shared" si="28"/>
        <v>0</v>
      </c>
      <c r="AM51" s="1"/>
      <c r="AN51">
        <f t="shared" si="29"/>
        <v>0</v>
      </c>
      <c r="AO51">
        <v>1</v>
      </c>
      <c r="AP51">
        <f t="shared" si="30"/>
        <v>0</v>
      </c>
      <c r="AQ51" s="1"/>
      <c r="AR51">
        <f t="shared" si="31"/>
        <v>0</v>
      </c>
      <c r="AS51">
        <v>1</v>
      </c>
    </row>
    <row r="52" spans="1:45" x14ac:dyDescent="0.35">
      <c r="A52">
        <f t="shared" si="17"/>
        <v>27</v>
      </c>
      <c r="B52" s="1" t="s">
        <v>102</v>
      </c>
      <c r="C52">
        <f t="shared" si="16"/>
        <v>2</v>
      </c>
      <c r="D52">
        <f t="shared" si="15"/>
        <v>21</v>
      </c>
      <c r="F52" s="1"/>
      <c r="G52" s="1"/>
      <c r="H52" s="1"/>
      <c r="J52">
        <f t="shared" si="18"/>
        <v>10</v>
      </c>
      <c r="K52" s="1" t="s">
        <v>120</v>
      </c>
      <c r="L52" s="1" t="s">
        <v>115</v>
      </c>
      <c r="M52" s="1" t="s">
        <v>181</v>
      </c>
      <c r="N52" s="1" t="s">
        <v>182</v>
      </c>
      <c r="O52" s="1" t="s">
        <v>157</v>
      </c>
      <c r="P52" s="1" t="s">
        <v>92</v>
      </c>
      <c r="Q52" s="1" t="s">
        <v>183</v>
      </c>
      <c r="R52">
        <v>0</v>
      </c>
      <c r="S52">
        <v>0</v>
      </c>
      <c r="T52">
        <v>0</v>
      </c>
      <c r="U52">
        <f t="shared" si="19"/>
        <v>3</v>
      </c>
      <c r="V52">
        <f t="shared" si="20"/>
        <v>2</v>
      </c>
      <c r="W52" s="1" t="s">
        <v>145</v>
      </c>
      <c r="X52">
        <f t="shared" si="21"/>
        <v>7</v>
      </c>
      <c r="Y52">
        <v>1</v>
      </c>
      <c r="Z52">
        <f t="shared" si="22"/>
        <v>2</v>
      </c>
      <c r="AA52" s="1" t="s">
        <v>146</v>
      </c>
      <c r="AB52">
        <f t="shared" si="23"/>
        <v>8</v>
      </c>
      <c r="AC52">
        <v>1</v>
      </c>
      <c r="AD52">
        <f t="shared" si="24"/>
        <v>2</v>
      </c>
      <c r="AE52" s="1" t="s">
        <v>148</v>
      </c>
      <c r="AF52">
        <f t="shared" si="25"/>
        <v>9</v>
      </c>
      <c r="AG52">
        <v>1</v>
      </c>
      <c r="AH52">
        <f t="shared" si="26"/>
        <v>0</v>
      </c>
      <c r="AI52" s="1"/>
      <c r="AJ52">
        <f t="shared" si="27"/>
        <v>0</v>
      </c>
      <c r="AK52">
        <v>1</v>
      </c>
      <c r="AL52">
        <f t="shared" si="28"/>
        <v>0</v>
      </c>
      <c r="AM52" s="1"/>
      <c r="AN52">
        <f t="shared" si="29"/>
        <v>0</v>
      </c>
      <c r="AO52">
        <v>1</v>
      </c>
      <c r="AP52">
        <f t="shared" si="30"/>
        <v>0</v>
      </c>
      <c r="AQ52" s="1"/>
      <c r="AR52">
        <f t="shared" si="31"/>
        <v>0</v>
      </c>
      <c r="AS52">
        <v>1</v>
      </c>
    </row>
    <row r="53" spans="1:45" x14ac:dyDescent="0.35">
      <c r="A53">
        <f t="shared" si="17"/>
        <v>28</v>
      </c>
      <c r="B53" s="1" t="s">
        <v>97</v>
      </c>
      <c r="C53">
        <f t="shared" si="16"/>
        <v>1</v>
      </c>
      <c r="D53">
        <f t="shared" si="15"/>
        <v>5</v>
      </c>
      <c r="F53" s="1"/>
      <c r="G53" s="1"/>
      <c r="H53" s="1"/>
      <c r="J53">
        <f t="shared" si="18"/>
        <v>11</v>
      </c>
      <c r="K53" s="1" t="s">
        <v>184</v>
      </c>
      <c r="L53" s="1" t="s">
        <v>185</v>
      </c>
      <c r="M53" s="1" t="s">
        <v>186</v>
      </c>
      <c r="N53" s="1" t="s">
        <v>182</v>
      </c>
      <c r="O53" s="1" t="s">
        <v>157</v>
      </c>
      <c r="P53" s="1" t="s">
        <v>92</v>
      </c>
      <c r="Q53" s="4" t="s">
        <v>187</v>
      </c>
      <c r="R53">
        <v>0</v>
      </c>
      <c r="S53">
        <v>0</v>
      </c>
      <c r="T53">
        <v>0</v>
      </c>
      <c r="U53">
        <f t="shared" si="19"/>
        <v>5</v>
      </c>
      <c r="V53">
        <f t="shared" si="20"/>
        <v>2</v>
      </c>
      <c r="W53" s="1" t="s">
        <v>119</v>
      </c>
      <c r="X53">
        <f t="shared" si="21"/>
        <v>24</v>
      </c>
      <c r="Y53">
        <v>1</v>
      </c>
      <c r="Z53">
        <f t="shared" si="22"/>
        <v>2</v>
      </c>
      <c r="AA53" s="1" t="s">
        <v>113</v>
      </c>
      <c r="AB53">
        <f t="shared" si="23"/>
        <v>23</v>
      </c>
      <c r="AC53">
        <v>1</v>
      </c>
      <c r="AD53">
        <f t="shared" si="24"/>
        <v>2</v>
      </c>
      <c r="AE53" s="1" t="s">
        <v>108</v>
      </c>
      <c r="AF53">
        <f t="shared" si="25"/>
        <v>20</v>
      </c>
      <c r="AG53">
        <v>1</v>
      </c>
      <c r="AH53">
        <f t="shared" si="26"/>
        <v>2</v>
      </c>
      <c r="AI53" s="1" t="s">
        <v>94</v>
      </c>
      <c r="AJ53">
        <f t="shared" si="27"/>
        <v>22</v>
      </c>
      <c r="AK53">
        <v>1</v>
      </c>
      <c r="AL53">
        <f t="shared" si="28"/>
        <v>2</v>
      </c>
      <c r="AM53" s="1" t="s">
        <v>141</v>
      </c>
      <c r="AN53">
        <f t="shared" si="29"/>
        <v>19</v>
      </c>
      <c r="AO53">
        <v>1</v>
      </c>
      <c r="AP53">
        <f t="shared" si="30"/>
        <v>0</v>
      </c>
      <c r="AQ53" s="1"/>
      <c r="AR53">
        <f t="shared" si="31"/>
        <v>0</v>
      </c>
      <c r="AS53">
        <v>1</v>
      </c>
    </row>
    <row r="54" spans="1:45" x14ac:dyDescent="0.35">
      <c r="A54">
        <f t="shared" si="17"/>
        <v>29</v>
      </c>
      <c r="B54" s="1" t="s">
        <v>95</v>
      </c>
      <c r="C54">
        <f t="shared" si="16"/>
        <v>2</v>
      </c>
      <c r="D54">
        <f t="shared" si="15"/>
        <v>1</v>
      </c>
      <c r="F54" s="1"/>
      <c r="G54" s="1"/>
      <c r="H54" s="1"/>
      <c r="J54">
        <f t="shared" si="18"/>
        <v>12</v>
      </c>
      <c r="K54" s="1" t="s">
        <v>188</v>
      </c>
      <c r="L54" s="1" t="s">
        <v>189</v>
      </c>
      <c r="M54" s="1" t="s">
        <v>190</v>
      </c>
      <c r="N54" s="1" t="s">
        <v>182</v>
      </c>
      <c r="O54" s="1" t="s">
        <v>157</v>
      </c>
      <c r="P54" s="1" t="s">
        <v>92</v>
      </c>
      <c r="Q54" s="4" t="s">
        <v>191</v>
      </c>
      <c r="R54">
        <v>0</v>
      </c>
      <c r="S54">
        <v>0</v>
      </c>
      <c r="T54">
        <v>0</v>
      </c>
      <c r="U54">
        <f t="shared" si="19"/>
        <v>3</v>
      </c>
      <c r="V54">
        <f t="shared" si="20"/>
        <v>2</v>
      </c>
      <c r="W54" s="1" t="s">
        <v>192</v>
      </c>
      <c r="X54">
        <f t="shared" si="21"/>
        <v>1</v>
      </c>
      <c r="Y54">
        <v>1</v>
      </c>
      <c r="Z54">
        <f t="shared" si="22"/>
        <v>2</v>
      </c>
      <c r="AA54" s="1" t="s">
        <v>103</v>
      </c>
      <c r="AB54">
        <f t="shared" si="23"/>
        <v>2</v>
      </c>
      <c r="AC54">
        <v>1</v>
      </c>
      <c r="AD54">
        <f t="shared" si="24"/>
        <v>2</v>
      </c>
      <c r="AE54" s="1" t="s">
        <v>109</v>
      </c>
      <c r="AF54">
        <f t="shared" si="25"/>
        <v>3</v>
      </c>
      <c r="AG54">
        <v>1</v>
      </c>
      <c r="AH54">
        <f t="shared" si="26"/>
        <v>0</v>
      </c>
      <c r="AI54" s="1"/>
      <c r="AJ54">
        <f t="shared" si="27"/>
        <v>0</v>
      </c>
      <c r="AK54">
        <v>1</v>
      </c>
      <c r="AL54">
        <f t="shared" si="28"/>
        <v>0</v>
      </c>
      <c r="AM54" s="1"/>
      <c r="AN54">
        <f t="shared" si="29"/>
        <v>0</v>
      </c>
      <c r="AO54">
        <v>1</v>
      </c>
      <c r="AP54">
        <f t="shared" si="30"/>
        <v>0</v>
      </c>
      <c r="AQ54" s="1"/>
      <c r="AR54">
        <f t="shared" si="31"/>
        <v>0</v>
      </c>
      <c r="AS54">
        <v>1</v>
      </c>
    </row>
    <row r="55" spans="1:45" x14ac:dyDescent="0.35">
      <c r="A55">
        <f t="shared" si="17"/>
        <v>30</v>
      </c>
      <c r="B55" s="1" t="s">
        <v>94</v>
      </c>
      <c r="C55">
        <f t="shared" si="16"/>
        <v>2</v>
      </c>
      <c r="D55">
        <f t="shared" si="15"/>
        <v>22</v>
      </c>
      <c r="F55" s="1"/>
      <c r="G55" s="1"/>
      <c r="H55" s="1"/>
      <c r="J55">
        <f t="shared" si="18"/>
        <v>13</v>
      </c>
      <c r="K55" s="1" t="s">
        <v>193</v>
      </c>
      <c r="L55" s="1" t="s">
        <v>194</v>
      </c>
      <c r="M55" s="1" t="s">
        <v>195</v>
      </c>
      <c r="N55" s="1" t="s">
        <v>182</v>
      </c>
      <c r="O55" s="1" t="s">
        <v>157</v>
      </c>
      <c r="P55" s="1" t="s">
        <v>92</v>
      </c>
      <c r="Q55" s="4" t="s">
        <v>196</v>
      </c>
      <c r="R55">
        <v>0</v>
      </c>
      <c r="S55">
        <v>0</v>
      </c>
      <c r="T55">
        <v>0</v>
      </c>
      <c r="U55">
        <f t="shared" si="19"/>
        <v>3</v>
      </c>
      <c r="V55">
        <f t="shared" si="20"/>
        <v>2</v>
      </c>
      <c r="W55" s="1" t="s">
        <v>94</v>
      </c>
      <c r="X55">
        <f t="shared" si="21"/>
        <v>22</v>
      </c>
      <c r="Y55">
        <v>1</v>
      </c>
      <c r="Z55">
        <f t="shared" si="22"/>
        <v>2</v>
      </c>
      <c r="AA55" s="1" t="s">
        <v>102</v>
      </c>
      <c r="AB55">
        <f t="shared" si="23"/>
        <v>21</v>
      </c>
      <c r="AC55">
        <v>1</v>
      </c>
      <c r="AD55">
        <f t="shared" si="24"/>
        <v>2</v>
      </c>
      <c r="AE55" s="1" t="s">
        <v>108</v>
      </c>
      <c r="AF55">
        <f t="shared" si="25"/>
        <v>20</v>
      </c>
      <c r="AG55">
        <v>1</v>
      </c>
      <c r="AH55">
        <f t="shared" si="26"/>
        <v>0</v>
      </c>
      <c r="AI55" s="1"/>
      <c r="AJ55">
        <f t="shared" si="27"/>
        <v>0</v>
      </c>
      <c r="AK55">
        <v>1</v>
      </c>
      <c r="AL55">
        <f t="shared" si="28"/>
        <v>0</v>
      </c>
      <c r="AM55" s="1"/>
      <c r="AN55">
        <f t="shared" si="29"/>
        <v>0</v>
      </c>
      <c r="AO55">
        <v>1</v>
      </c>
      <c r="AP55">
        <f t="shared" si="30"/>
        <v>0</v>
      </c>
      <c r="AQ55" s="1"/>
      <c r="AR55">
        <f t="shared" si="31"/>
        <v>0</v>
      </c>
      <c r="AS55">
        <v>1</v>
      </c>
    </row>
    <row r="56" spans="1:45" x14ac:dyDescent="0.35">
      <c r="A56">
        <f t="shared" si="17"/>
        <v>31</v>
      </c>
      <c r="B56" s="1" t="s">
        <v>88</v>
      </c>
      <c r="C56">
        <f t="shared" si="16"/>
        <v>1</v>
      </c>
      <c r="D56">
        <f t="shared" si="15"/>
        <v>4</v>
      </c>
      <c r="F56" s="1"/>
      <c r="G56" s="1"/>
      <c r="H56" s="1"/>
      <c r="J56">
        <f t="shared" si="18"/>
        <v>14</v>
      </c>
      <c r="K56" s="1" t="s">
        <v>197</v>
      </c>
      <c r="L56" s="1" t="s">
        <v>198</v>
      </c>
      <c r="M56" s="1" t="s">
        <v>199</v>
      </c>
      <c r="N56" s="1" t="s">
        <v>182</v>
      </c>
      <c r="O56" s="1" t="s">
        <v>157</v>
      </c>
      <c r="P56" s="1" t="s">
        <v>92</v>
      </c>
      <c r="Q56" s="4" t="s">
        <v>200</v>
      </c>
      <c r="R56">
        <v>0</v>
      </c>
      <c r="S56">
        <v>0</v>
      </c>
      <c r="T56">
        <v>0</v>
      </c>
      <c r="U56">
        <f t="shared" si="19"/>
        <v>2</v>
      </c>
      <c r="V56">
        <f t="shared" si="20"/>
        <v>2</v>
      </c>
      <c r="W56" s="1" t="s">
        <v>120</v>
      </c>
      <c r="X56">
        <f t="shared" si="21"/>
        <v>10</v>
      </c>
      <c r="Y56">
        <v>1</v>
      </c>
      <c r="Z56">
        <f t="shared" si="22"/>
        <v>2</v>
      </c>
      <c r="AA56" s="1" t="s">
        <v>114</v>
      </c>
      <c r="AB56">
        <f t="shared" si="23"/>
        <v>5</v>
      </c>
      <c r="AC56">
        <v>1</v>
      </c>
      <c r="AD56">
        <f t="shared" si="24"/>
        <v>0</v>
      </c>
      <c r="AE56" s="1"/>
      <c r="AF56">
        <f t="shared" si="25"/>
        <v>0</v>
      </c>
      <c r="AG56">
        <v>1</v>
      </c>
      <c r="AH56">
        <f t="shared" si="26"/>
        <v>0</v>
      </c>
      <c r="AI56" s="1"/>
      <c r="AJ56">
        <f t="shared" si="27"/>
        <v>0</v>
      </c>
      <c r="AK56">
        <v>1</v>
      </c>
      <c r="AL56">
        <f t="shared" si="28"/>
        <v>0</v>
      </c>
      <c r="AM56" s="1"/>
      <c r="AN56">
        <f t="shared" si="29"/>
        <v>0</v>
      </c>
      <c r="AO56">
        <v>1</v>
      </c>
      <c r="AP56">
        <f t="shared" si="30"/>
        <v>0</v>
      </c>
      <c r="AQ56" s="1"/>
      <c r="AR56">
        <f t="shared" si="31"/>
        <v>0</v>
      </c>
      <c r="AS56">
        <v>1</v>
      </c>
    </row>
    <row r="57" spans="1:45" x14ac:dyDescent="0.35">
      <c r="A57">
        <f t="shared" si="17"/>
        <v>32</v>
      </c>
      <c r="B57" s="1" t="s">
        <v>76</v>
      </c>
      <c r="C57">
        <f t="shared" si="16"/>
        <v>1</v>
      </c>
      <c r="D57">
        <f t="shared" si="15"/>
        <v>2</v>
      </c>
      <c r="F57" s="1"/>
      <c r="G57" s="1"/>
      <c r="H57" s="1"/>
      <c r="J57">
        <f t="shared" si="18"/>
        <v>15</v>
      </c>
      <c r="K57" s="1" t="s">
        <v>201</v>
      </c>
      <c r="L57" s="1" t="s">
        <v>202</v>
      </c>
      <c r="M57" s="1" t="s">
        <v>203</v>
      </c>
      <c r="N57" s="1" t="s">
        <v>182</v>
      </c>
      <c r="O57" s="1" t="s">
        <v>157</v>
      </c>
      <c r="P57" s="1" t="s">
        <v>92</v>
      </c>
      <c r="Q57" s="4" t="s">
        <v>204</v>
      </c>
      <c r="R57">
        <v>0</v>
      </c>
      <c r="S57">
        <v>0</v>
      </c>
      <c r="T57">
        <v>0</v>
      </c>
      <c r="U57">
        <f t="shared" si="19"/>
        <v>2</v>
      </c>
      <c r="V57">
        <f t="shared" si="20"/>
        <v>2</v>
      </c>
      <c r="W57" s="1" t="s">
        <v>113</v>
      </c>
      <c r="X57">
        <f t="shared" si="21"/>
        <v>23</v>
      </c>
      <c r="Y57">
        <v>1</v>
      </c>
      <c r="Z57">
        <f t="shared" si="22"/>
        <v>2</v>
      </c>
      <c r="AA57" s="1" t="s">
        <v>141</v>
      </c>
      <c r="AB57">
        <f t="shared" si="23"/>
        <v>19</v>
      </c>
      <c r="AC57">
        <v>-1</v>
      </c>
      <c r="AD57">
        <f t="shared" si="24"/>
        <v>0</v>
      </c>
      <c r="AE57" s="1"/>
      <c r="AF57">
        <f t="shared" si="25"/>
        <v>0</v>
      </c>
      <c r="AG57">
        <v>1</v>
      </c>
      <c r="AH57">
        <f t="shared" si="26"/>
        <v>0</v>
      </c>
      <c r="AI57" s="1"/>
      <c r="AJ57">
        <f t="shared" si="27"/>
        <v>0</v>
      </c>
      <c r="AK57">
        <v>1</v>
      </c>
      <c r="AL57">
        <f t="shared" si="28"/>
        <v>0</v>
      </c>
      <c r="AM57" s="1"/>
      <c r="AN57">
        <f t="shared" si="29"/>
        <v>0</v>
      </c>
      <c r="AO57">
        <v>1</v>
      </c>
      <c r="AP57">
        <f t="shared" si="30"/>
        <v>0</v>
      </c>
      <c r="AQ57" s="1"/>
      <c r="AR57">
        <f t="shared" si="31"/>
        <v>0</v>
      </c>
      <c r="AS57">
        <v>1</v>
      </c>
    </row>
    <row r="58" spans="1:45" x14ac:dyDescent="0.35">
      <c r="A58">
        <f t="shared" si="17"/>
        <v>33</v>
      </c>
      <c r="B58" s="1" t="s">
        <v>64</v>
      </c>
      <c r="C58">
        <f t="shared" si="16"/>
        <v>1</v>
      </c>
      <c r="D58">
        <f t="shared" si="15"/>
        <v>1</v>
      </c>
      <c r="F58" s="1"/>
      <c r="G58" s="1"/>
      <c r="H58" s="1"/>
      <c r="J58">
        <f t="shared" si="18"/>
        <v>16</v>
      </c>
      <c r="K58" s="1" t="s">
        <v>205</v>
      </c>
      <c r="L58" s="1" t="s">
        <v>206</v>
      </c>
      <c r="M58" s="1" t="s">
        <v>207</v>
      </c>
      <c r="N58" s="1" t="s">
        <v>182</v>
      </c>
      <c r="O58" s="1" t="s">
        <v>157</v>
      </c>
      <c r="P58" s="1" t="s">
        <v>92</v>
      </c>
      <c r="Q58" s="1" t="s">
        <v>208</v>
      </c>
      <c r="R58">
        <v>0</v>
      </c>
      <c r="S58">
        <v>0</v>
      </c>
      <c r="T58">
        <v>0</v>
      </c>
      <c r="U58">
        <f t="shared" si="19"/>
        <v>3</v>
      </c>
      <c r="V58">
        <f t="shared" si="20"/>
        <v>2</v>
      </c>
      <c r="W58" s="1" t="s">
        <v>119</v>
      </c>
      <c r="X58">
        <f t="shared" si="21"/>
        <v>24</v>
      </c>
      <c r="Y58">
        <v>1</v>
      </c>
      <c r="Z58">
        <f t="shared" si="22"/>
        <v>2</v>
      </c>
      <c r="AA58" s="1" t="s">
        <v>113</v>
      </c>
      <c r="AB58">
        <f t="shared" si="23"/>
        <v>23</v>
      </c>
      <c r="AC58">
        <v>1</v>
      </c>
      <c r="AD58">
        <f t="shared" si="24"/>
        <v>2</v>
      </c>
      <c r="AE58" s="1" t="s">
        <v>141</v>
      </c>
      <c r="AF58">
        <f t="shared" si="25"/>
        <v>19</v>
      </c>
      <c r="AG58">
        <v>-1</v>
      </c>
      <c r="AH58">
        <f t="shared" si="26"/>
        <v>0</v>
      </c>
      <c r="AI58" s="1"/>
      <c r="AJ58">
        <f t="shared" si="27"/>
        <v>0</v>
      </c>
      <c r="AK58">
        <v>1</v>
      </c>
      <c r="AL58">
        <f t="shared" si="28"/>
        <v>0</v>
      </c>
      <c r="AM58" s="1"/>
      <c r="AN58">
        <f t="shared" si="29"/>
        <v>0</v>
      </c>
      <c r="AO58">
        <v>1</v>
      </c>
      <c r="AP58">
        <f t="shared" si="30"/>
        <v>0</v>
      </c>
      <c r="AQ58" s="1"/>
      <c r="AR58">
        <f t="shared" si="31"/>
        <v>0</v>
      </c>
      <c r="AS58">
        <v>1</v>
      </c>
    </row>
    <row r="59" spans="1:45" x14ac:dyDescent="0.35">
      <c r="A59">
        <f t="shared" si="17"/>
        <v>34</v>
      </c>
      <c r="B59" s="1" t="s">
        <v>184</v>
      </c>
      <c r="C59">
        <f t="shared" si="16"/>
        <v>2</v>
      </c>
      <c r="D59">
        <f t="shared" si="15"/>
        <v>11</v>
      </c>
      <c r="F59" s="1"/>
      <c r="G59" s="1"/>
      <c r="H59" s="1"/>
      <c r="J59">
        <f t="shared" si="18"/>
        <v>17</v>
      </c>
      <c r="K59" s="1" t="s">
        <v>134</v>
      </c>
      <c r="L59" s="1" t="s">
        <v>209</v>
      </c>
      <c r="M59" s="1" t="s">
        <v>210</v>
      </c>
      <c r="N59" s="1" t="s">
        <v>156</v>
      </c>
      <c r="O59" s="1" t="s">
        <v>157</v>
      </c>
      <c r="P59" s="3" t="s">
        <v>147</v>
      </c>
      <c r="Q59" s="1" t="s">
        <v>69</v>
      </c>
      <c r="R59">
        <v>0</v>
      </c>
      <c r="S59">
        <v>0</v>
      </c>
      <c r="T59">
        <v>0</v>
      </c>
      <c r="U59">
        <f t="shared" si="19"/>
        <v>1</v>
      </c>
      <c r="V59">
        <f t="shared" si="20"/>
        <v>1</v>
      </c>
      <c r="W59" s="1" t="s">
        <v>81</v>
      </c>
      <c r="X59">
        <f t="shared" si="21"/>
        <v>3</v>
      </c>
      <c r="Y59">
        <v>1</v>
      </c>
      <c r="Z59">
        <f t="shared" si="22"/>
        <v>0</v>
      </c>
      <c r="AA59" s="1"/>
      <c r="AB59">
        <f t="shared" si="23"/>
        <v>0</v>
      </c>
      <c r="AC59">
        <v>1</v>
      </c>
      <c r="AD59">
        <f t="shared" si="24"/>
        <v>0</v>
      </c>
      <c r="AE59" s="1"/>
      <c r="AF59">
        <f t="shared" si="25"/>
        <v>0</v>
      </c>
      <c r="AG59">
        <v>1</v>
      </c>
      <c r="AH59">
        <f t="shared" si="26"/>
        <v>0</v>
      </c>
      <c r="AI59" s="1"/>
      <c r="AJ59">
        <f t="shared" si="27"/>
        <v>0</v>
      </c>
      <c r="AK59">
        <v>1</v>
      </c>
      <c r="AL59">
        <f t="shared" si="28"/>
        <v>0</v>
      </c>
      <c r="AM59" s="1"/>
      <c r="AN59">
        <f t="shared" si="29"/>
        <v>0</v>
      </c>
      <c r="AO59">
        <v>1</v>
      </c>
      <c r="AP59">
        <f t="shared" si="30"/>
        <v>0</v>
      </c>
      <c r="AQ59" s="1"/>
      <c r="AR59">
        <f t="shared" si="31"/>
        <v>0</v>
      </c>
      <c r="AS59">
        <v>1</v>
      </c>
    </row>
    <row r="60" spans="1:45" x14ac:dyDescent="0.35">
      <c r="A60">
        <f t="shared" si="17"/>
        <v>35</v>
      </c>
      <c r="B60" s="1" t="s">
        <v>211</v>
      </c>
      <c r="C60">
        <f t="shared" si="16"/>
        <v>2</v>
      </c>
      <c r="D60">
        <f t="shared" si="15"/>
        <v>18</v>
      </c>
      <c r="F60" s="1"/>
      <c r="G60" s="1"/>
      <c r="H60" s="1"/>
      <c r="J60">
        <f t="shared" si="18"/>
        <v>18</v>
      </c>
      <c r="K60" s="1" t="s">
        <v>211</v>
      </c>
      <c r="L60" s="1" t="s">
        <v>212</v>
      </c>
      <c r="M60" s="1" t="s">
        <v>213</v>
      </c>
      <c r="N60" s="1" t="s">
        <v>182</v>
      </c>
      <c r="O60" s="1" t="s">
        <v>157</v>
      </c>
      <c r="P60" s="1" t="s">
        <v>92</v>
      </c>
      <c r="Q60" s="1" t="s">
        <v>167</v>
      </c>
      <c r="R60">
        <v>0</v>
      </c>
      <c r="S60">
        <v>0</v>
      </c>
      <c r="T60">
        <v>0</v>
      </c>
      <c r="U60">
        <f t="shared" si="19"/>
        <v>2</v>
      </c>
      <c r="V60">
        <f t="shared" si="20"/>
        <v>2</v>
      </c>
      <c r="W60" s="1" t="s">
        <v>184</v>
      </c>
      <c r="X60">
        <f t="shared" si="21"/>
        <v>11</v>
      </c>
      <c r="Y60">
        <v>1</v>
      </c>
      <c r="Z60">
        <f t="shared" si="22"/>
        <v>2</v>
      </c>
      <c r="AA60" s="1" t="s">
        <v>141</v>
      </c>
      <c r="AB60">
        <f t="shared" si="23"/>
        <v>19</v>
      </c>
      <c r="AC60">
        <v>-1</v>
      </c>
      <c r="AD60">
        <f t="shared" si="24"/>
        <v>0</v>
      </c>
      <c r="AE60" s="1"/>
      <c r="AF60">
        <f t="shared" si="25"/>
        <v>0</v>
      </c>
      <c r="AG60">
        <v>1</v>
      </c>
      <c r="AH60">
        <f t="shared" si="26"/>
        <v>0</v>
      </c>
      <c r="AI60" s="1"/>
      <c r="AJ60">
        <f t="shared" si="27"/>
        <v>0</v>
      </c>
      <c r="AK60">
        <v>1</v>
      </c>
      <c r="AL60">
        <f t="shared" si="28"/>
        <v>0</v>
      </c>
      <c r="AM60" s="1"/>
      <c r="AN60">
        <f t="shared" si="29"/>
        <v>0</v>
      </c>
      <c r="AO60">
        <v>1</v>
      </c>
      <c r="AP60">
        <f t="shared" si="30"/>
        <v>0</v>
      </c>
      <c r="AQ60" s="1"/>
      <c r="AR60">
        <f t="shared" si="31"/>
        <v>0</v>
      </c>
      <c r="AS60">
        <v>1</v>
      </c>
    </row>
    <row r="61" spans="1:45" x14ac:dyDescent="0.35">
      <c r="A61">
        <f t="shared" si="17"/>
        <v>36</v>
      </c>
      <c r="B61" s="1" t="s">
        <v>188</v>
      </c>
      <c r="C61">
        <f t="shared" si="16"/>
        <v>2</v>
      </c>
      <c r="D61">
        <f t="shared" si="15"/>
        <v>12</v>
      </c>
      <c r="F61" s="1"/>
      <c r="G61" s="1"/>
      <c r="H61" s="1"/>
      <c r="J61">
        <f t="shared" si="18"/>
        <v>19</v>
      </c>
      <c r="K61" s="1" t="s">
        <v>141</v>
      </c>
      <c r="L61" s="1" t="s">
        <v>214</v>
      </c>
      <c r="M61" s="1" t="s">
        <v>215</v>
      </c>
      <c r="N61" s="1" t="s">
        <v>156</v>
      </c>
      <c r="O61" s="1" t="s">
        <v>165</v>
      </c>
      <c r="P61" s="3" t="s">
        <v>147</v>
      </c>
      <c r="Q61" s="1" t="s">
        <v>69</v>
      </c>
      <c r="R61">
        <v>0</v>
      </c>
      <c r="S61">
        <v>0</v>
      </c>
      <c r="T61">
        <v>0</v>
      </c>
      <c r="U61">
        <f t="shared" si="19"/>
        <v>2</v>
      </c>
      <c r="V61">
        <f t="shared" si="20"/>
        <v>1</v>
      </c>
      <c r="W61" s="1" t="s">
        <v>216</v>
      </c>
      <c r="X61">
        <f t="shared" si="21"/>
        <v>7</v>
      </c>
      <c r="Y61">
        <v>1</v>
      </c>
      <c r="Z61">
        <f t="shared" si="22"/>
        <v>1</v>
      </c>
      <c r="AA61" s="1" t="s">
        <v>71</v>
      </c>
      <c r="AB61">
        <f t="shared" si="23"/>
        <v>8</v>
      </c>
      <c r="AC61">
        <v>1</v>
      </c>
      <c r="AD61">
        <f t="shared" si="24"/>
        <v>0</v>
      </c>
      <c r="AE61" s="1"/>
      <c r="AF61">
        <f t="shared" si="25"/>
        <v>0</v>
      </c>
      <c r="AG61">
        <v>1</v>
      </c>
      <c r="AH61">
        <f t="shared" si="26"/>
        <v>0</v>
      </c>
      <c r="AI61" s="1"/>
      <c r="AJ61">
        <f t="shared" si="27"/>
        <v>0</v>
      </c>
      <c r="AK61">
        <v>1</v>
      </c>
      <c r="AL61">
        <f t="shared" si="28"/>
        <v>0</v>
      </c>
      <c r="AM61" s="1"/>
      <c r="AN61">
        <f t="shared" si="29"/>
        <v>0</v>
      </c>
      <c r="AO61">
        <v>1</v>
      </c>
      <c r="AP61">
        <f t="shared" si="30"/>
        <v>0</v>
      </c>
      <c r="AQ61" s="1"/>
      <c r="AR61">
        <f t="shared" si="31"/>
        <v>0</v>
      </c>
      <c r="AS61">
        <v>1</v>
      </c>
    </row>
    <row r="62" spans="1:45" x14ac:dyDescent="0.35">
      <c r="A62">
        <f t="shared" si="17"/>
        <v>37</v>
      </c>
      <c r="B62" s="1" t="s">
        <v>193</v>
      </c>
      <c r="C62">
        <f t="shared" si="16"/>
        <v>2</v>
      </c>
      <c r="D62">
        <f t="shared" si="15"/>
        <v>13</v>
      </c>
      <c r="F62" s="1"/>
      <c r="G62" s="1"/>
      <c r="H62" s="1"/>
      <c r="J62">
        <f>N(J61)+1</f>
        <v>20</v>
      </c>
      <c r="K62" s="1" t="str">
        <f>"DF"&amp;L62</f>
        <v>DFCash</v>
      </c>
      <c r="L62" s="1" t="s">
        <v>104</v>
      </c>
      <c r="M62" s="1" t="s">
        <v>217</v>
      </c>
      <c r="N62" s="1" t="s">
        <v>182</v>
      </c>
      <c r="O62" s="1" t="s">
        <v>218</v>
      </c>
      <c r="P62" s="1" t="s">
        <v>219</v>
      </c>
      <c r="Q62" s="1" t="s">
        <v>69</v>
      </c>
      <c r="R62">
        <v>0</v>
      </c>
      <c r="S62">
        <v>0</v>
      </c>
      <c r="T62">
        <v>0</v>
      </c>
      <c r="U62">
        <f t="shared" si="19"/>
        <v>2</v>
      </c>
      <c r="V62">
        <f t="shared" si="20"/>
        <v>1</v>
      </c>
      <c r="W62" s="1" t="s">
        <v>107</v>
      </c>
      <c r="X62">
        <f t="shared" si="21"/>
        <v>14</v>
      </c>
      <c r="Y62">
        <v>1</v>
      </c>
      <c r="Z62">
        <f t="shared" si="22"/>
        <v>2</v>
      </c>
      <c r="AA62" s="1" t="s">
        <v>220</v>
      </c>
      <c r="AB62">
        <f t="shared" si="23"/>
        <v>3</v>
      </c>
      <c r="AC62">
        <v>1</v>
      </c>
      <c r="AD62">
        <f t="shared" si="24"/>
        <v>0</v>
      </c>
      <c r="AE62" s="1"/>
      <c r="AF62">
        <f t="shared" si="25"/>
        <v>0</v>
      </c>
      <c r="AG62">
        <v>1</v>
      </c>
      <c r="AH62">
        <f t="shared" si="26"/>
        <v>0</v>
      </c>
      <c r="AI62" s="1"/>
      <c r="AJ62">
        <f t="shared" si="27"/>
        <v>0</v>
      </c>
      <c r="AK62">
        <v>1</v>
      </c>
      <c r="AL62">
        <f t="shared" si="28"/>
        <v>0</v>
      </c>
      <c r="AM62" s="1"/>
      <c r="AN62">
        <f t="shared" si="29"/>
        <v>0</v>
      </c>
      <c r="AO62">
        <v>1</v>
      </c>
      <c r="AP62">
        <f t="shared" si="30"/>
        <v>0</v>
      </c>
      <c r="AQ62" s="1"/>
      <c r="AR62">
        <f t="shared" si="31"/>
        <v>0</v>
      </c>
      <c r="AS62">
        <v>1</v>
      </c>
    </row>
    <row r="63" spans="1:45" x14ac:dyDescent="0.35">
      <c r="A63">
        <f t="shared" si="17"/>
        <v>38</v>
      </c>
      <c r="B63" s="1" t="s">
        <v>197</v>
      </c>
      <c r="C63">
        <f t="shared" si="16"/>
        <v>2</v>
      </c>
      <c r="D63">
        <f t="shared" si="15"/>
        <v>14</v>
      </c>
      <c r="F63" s="1"/>
      <c r="G63" s="1"/>
      <c r="H63" s="1"/>
      <c r="J63">
        <f>N(J62)+1</f>
        <v>21</v>
      </c>
      <c r="K63" s="1" t="str">
        <f>"DF"&amp;L63</f>
        <v>DFBT</v>
      </c>
      <c r="L63" s="1" t="s">
        <v>98</v>
      </c>
      <c r="M63" s="1" t="s">
        <v>221</v>
      </c>
      <c r="N63" s="1" t="s">
        <v>182</v>
      </c>
      <c r="O63" s="1" t="s">
        <v>218</v>
      </c>
      <c r="P63" s="1" t="s">
        <v>219</v>
      </c>
      <c r="Q63" s="1" t="s">
        <v>69</v>
      </c>
      <c r="R63">
        <v>0</v>
      </c>
      <c r="S63">
        <v>0</v>
      </c>
      <c r="T63">
        <v>0</v>
      </c>
      <c r="U63">
        <f t="shared" si="19"/>
        <v>2</v>
      </c>
      <c r="V63">
        <f t="shared" si="20"/>
        <v>1</v>
      </c>
      <c r="W63" s="1" t="s">
        <v>101</v>
      </c>
      <c r="X63">
        <f t="shared" si="21"/>
        <v>15</v>
      </c>
      <c r="Y63">
        <v>1</v>
      </c>
      <c r="Z63">
        <f t="shared" si="22"/>
        <v>2</v>
      </c>
      <c r="AA63" s="1" t="s">
        <v>103</v>
      </c>
      <c r="AB63">
        <f t="shared" si="23"/>
        <v>2</v>
      </c>
      <c r="AC63">
        <v>1</v>
      </c>
      <c r="AD63">
        <f t="shared" si="24"/>
        <v>0</v>
      </c>
      <c r="AE63" s="1"/>
      <c r="AF63">
        <f t="shared" si="25"/>
        <v>0</v>
      </c>
      <c r="AG63">
        <v>1</v>
      </c>
      <c r="AH63">
        <f t="shared" si="26"/>
        <v>0</v>
      </c>
      <c r="AI63" s="1"/>
      <c r="AJ63">
        <f t="shared" si="27"/>
        <v>0</v>
      </c>
      <c r="AK63">
        <v>1</v>
      </c>
      <c r="AL63">
        <f t="shared" si="28"/>
        <v>0</v>
      </c>
      <c r="AM63" s="1"/>
      <c r="AN63">
        <f t="shared" si="29"/>
        <v>0</v>
      </c>
      <c r="AO63">
        <v>1</v>
      </c>
      <c r="AP63">
        <f t="shared" si="30"/>
        <v>0</v>
      </c>
      <c r="AQ63" s="1"/>
      <c r="AR63">
        <f t="shared" si="31"/>
        <v>0</v>
      </c>
      <c r="AS63">
        <v>1</v>
      </c>
    </row>
    <row r="64" spans="1:45" x14ac:dyDescent="0.35">
      <c r="A64">
        <f t="shared" si="17"/>
        <v>39</v>
      </c>
      <c r="B64" s="1" t="s">
        <v>201</v>
      </c>
      <c r="C64">
        <f t="shared" si="16"/>
        <v>2</v>
      </c>
      <c r="D64">
        <f t="shared" si="15"/>
        <v>15</v>
      </c>
      <c r="J64">
        <f>N(J63)+1</f>
        <v>22</v>
      </c>
      <c r="K64" s="1" t="str">
        <f>"DF"&amp;L64</f>
        <v>DFPurch</v>
      </c>
      <c r="L64" s="1" t="s">
        <v>89</v>
      </c>
      <c r="M64" s="1" t="s">
        <v>222</v>
      </c>
      <c r="N64" s="1" t="s">
        <v>182</v>
      </c>
      <c r="O64" s="1" t="s">
        <v>218</v>
      </c>
      <c r="P64" s="1" t="s">
        <v>219</v>
      </c>
      <c r="Q64" s="1" t="s">
        <v>69</v>
      </c>
      <c r="R64">
        <v>0</v>
      </c>
      <c r="S64">
        <v>0</v>
      </c>
      <c r="T64">
        <v>0</v>
      </c>
      <c r="U64">
        <f t="shared" si="19"/>
        <v>2</v>
      </c>
      <c r="V64">
        <f t="shared" si="20"/>
        <v>1</v>
      </c>
      <c r="W64" s="1" t="s">
        <v>93</v>
      </c>
      <c r="X64">
        <f t="shared" si="21"/>
        <v>16</v>
      </c>
      <c r="Y64">
        <v>1</v>
      </c>
      <c r="Z64">
        <f t="shared" si="22"/>
        <v>2</v>
      </c>
      <c r="AA64" s="1" t="s">
        <v>192</v>
      </c>
      <c r="AB64">
        <f t="shared" si="23"/>
        <v>1</v>
      </c>
      <c r="AC64">
        <v>1</v>
      </c>
      <c r="AD64">
        <f t="shared" si="24"/>
        <v>0</v>
      </c>
      <c r="AE64" s="1"/>
      <c r="AF64">
        <f t="shared" si="25"/>
        <v>0</v>
      </c>
      <c r="AG64">
        <v>1</v>
      </c>
      <c r="AH64">
        <f t="shared" si="26"/>
        <v>0</v>
      </c>
      <c r="AI64" s="1"/>
      <c r="AJ64">
        <f t="shared" si="27"/>
        <v>0</v>
      </c>
      <c r="AK64">
        <v>1</v>
      </c>
      <c r="AL64">
        <f t="shared" si="28"/>
        <v>0</v>
      </c>
      <c r="AM64" s="1"/>
      <c r="AN64">
        <f t="shared" si="29"/>
        <v>0</v>
      </c>
      <c r="AO64">
        <v>1</v>
      </c>
      <c r="AP64">
        <f t="shared" si="30"/>
        <v>0</v>
      </c>
      <c r="AQ64" s="1"/>
      <c r="AR64">
        <f t="shared" si="31"/>
        <v>0</v>
      </c>
      <c r="AS64">
        <v>1</v>
      </c>
    </row>
    <row r="65" spans="1:45" x14ac:dyDescent="0.35">
      <c r="A65">
        <f t="shared" si="17"/>
        <v>40</v>
      </c>
      <c r="B65" s="1" t="s">
        <v>205</v>
      </c>
      <c r="C65">
        <f t="shared" si="16"/>
        <v>2</v>
      </c>
      <c r="D65">
        <f t="shared" si="15"/>
        <v>16</v>
      </c>
      <c r="J65">
        <f>N(J64)+1</f>
        <v>23</v>
      </c>
      <c r="K65" s="1" t="str">
        <f>"DF"&amp;L65</f>
        <v>DFFees</v>
      </c>
      <c r="L65" s="1" t="s">
        <v>110</v>
      </c>
      <c r="M65" s="1" t="s">
        <v>223</v>
      </c>
      <c r="N65" s="1" t="s">
        <v>182</v>
      </c>
      <c r="O65" s="1" t="s">
        <v>218</v>
      </c>
      <c r="P65" s="1" t="s">
        <v>219</v>
      </c>
      <c r="Q65" s="1" t="s">
        <v>69</v>
      </c>
      <c r="R65">
        <v>0</v>
      </c>
      <c r="S65">
        <v>0</v>
      </c>
      <c r="T65">
        <v>0</v>
      </c>
      <c r="U65">
        <f t="shared" si="19"/>
        <v>2</v>
      </c>
      <c r="V65">
        <f t="shared" si="20"/>
        <v>1</v>
      </c>
      <c r="W65" s="1" t="s">
        <v>112</v>
      </c>
      <c r="X65">
        <f t="shared" si="21"/>
        <v>13</v>
      </c>
      <c r="Y65">
        <v>0.4</v>
      </c>
      <c r="Z65">
        <f t="shared" si="22"/>
        <v>2</v>
      </c>
      <c r="AA65" s="1" t="s">
        <v>136</v>
      </c>
      <c r="AB65">
        <f t="shared" si="23"/>
        <v>5</v>
      </c>
      <c r="AC65">
        <v>0.5</v>
      </c>
      <c r="AD65">
        <f t="shared" si="24"/>
        <v>0</v>
      </c>
      <c r="AE65" s="1"/>
      <c r="AF65">
        <f t="shared" si="25"/>
        <v>0</v>
      </c>
      <c r="AG65">
        <v>1</v>
      </c>
      <c r="AH65">
        <f t="shared" si="26"/>
        <v>0</v>
      </c>
      <c r="AI65" s="1"/>
      <c r="AJ65">
        <f t="shared" si="27"/>
        <v>0</v>
      </c>
      <c r="AK65">
        <v>1</v>
      </c>
      <c r="AL65">
        <f t="shared" si="28"/>
        <v>0</v>
      </c>
      <c r="AM65" s="1"/>
      <c r="AN65">
        <f t="shared" si="29"/>
        <v>0</v>
      </c>
      <c r="AO65">
        <v>1</v>
      </c>
      <c r="AP65">
        <f t="shared" si="30"/>
        <v>0</v>
      </c>
      <c r="AQ65" s="1"/>
      <c r="AR65">
        <f t="shared" si="31"/>
        <v>0</v>
      </c>
      <c r="AS65">
        <v>1</v>
      </c>
    </row>
    <row r="66" spans="1:45" x14ac:dyDescent="0.35">
      <c r="A66">
        <f t="shared" si="17"/>
        <v>41</v>
      </c>
      <c r="B66" s="1" t="s">
        <v>126</v>
      </c>
      <c r="C66">
        <f t="shared" si="16"/>
        <v>1</v>
      </c>
      <c r="D66">
        <f t="shared" si="15"/>
        <v>10</v>
      </c>
      <c r="J66">
        <f>N(J65)+1</f>
        <v>24</v>
      </c>
      <c r="K66" s="1" t="str">
        <f>"DF"&amp;L66</f>
        <v>DFFCs</v>
      </c>
      <c r="L66" s="1" t="s">
        <v>115</v>
      </c>
      <c r="M66" s="1" t="s">
        <v>224</v>
      </c>
      <c r="N66" s="1" t="s">
        <v>182</v>
      </c>
      <c r="O66" s="1" t="s">
        <v>218</v>
      </c>
      <c r="P66" s="1" t="s">
        <v>219</v>
      </c>
      <c r="Q66" s="1" t="s">
        <v>69</v>
      </c>
      <c r="R66">
        <v>0</v>
      </c>
      <c r="S66">
        <v>0</v>
      </c>
      <c r="T66">
        <v>0</v>
      </c>
      <c r="U66">
        <f t="shared" si="19"/>
        <v>2</v>
      </c>
      <c r="V66">
        <f t="shared" si="20"/>
        <v>1</v>
      </c>
      <c r="W66" s="1" t="s">
        <v>118</v>
      </c>
      <c r="X66">
        <f t="shared" si="21"/>
        <v>12</v>
      </c>
      <c r="Y66">
        <v>0.4</v>
      </c>
      <c r="Z66">
        <f t="shared" si="22"/>
        <v>2</v>
      </c>
      <c r="AA66" s="1" t="s">
        <v>120</v>
      </c>
      <c r="AB66">
        <f t="shared" si="23"/>
        <v>10</v>
      </c>
      <c r="AC66">
        <v>0.5</v>
      </c>
      <c r="AD66">
        <f t="shared" si="24"/>
        <v>0</v>
      </c>
      <c r="AE66" s="1"/>
      <c r="AF66">
        <f t="shared" si="25"/>
        <v>0</v>
      </c>
      <c r="AG66">
        <v>1</v>
      </c>
      <c r="AH66">
        <f t="shared" si="26"/>
        <v>0</v>
      </c>
      <c r="AI66" s="1"/>
      <c r="AJ66">
        <f t="shared" si="27"/>
        <v>0</v>
      </c>
      <c r="AK66">
        <v>1</v>
      </c>
      <c r="AL66">
        <f t="shared" si="28"/>
        <v>0</v>
      </c>
      <c r="AM66" s="1"/>
      <c r="AN66">
        <f t="shared" si="29"/>
        <v>0</v>
      </c>
      <c r="AO66">
        <v>1</v>
      </c>
      <c r="AP66">
        <f t="shared" si="30"/>
        <v>0</v>
      </c>
      <c r="AQ66" s="1"/>
      <c r="AR66">
        <f t="shared" si="31"/>
        <v>0</v>
      </c>
      <c r="AS66">
        <v>1</v>
      </c>
    </row>
    <row r="70" spans="1:45" x14ac:dyDescent="0.35">
      <c r="A70" t="s">
        <v>225</v>
      </c>
    </row>
    <row r="71" spans="1:45" x14ac:dyDescent="0.35">
      <c r="A71" s="5">
        <f t="array" ref="A71:S71">A72:S72</f>
        <v>0</v>
      </c>
      <c r="B71" s="5">
        <v>0</v>
      </c>
      <c r="C71" s="5">
        <v>0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</row>
  </sheetData>
  <pageMargins left="0.7" right="0.7" top="0.75" bottom="0.75" header="0.3" footer="0.3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StatesAndStages</vt:lpstr>
      <vt:lpstr>StocksAndFlows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CJWypasek</dc:creator>
  <cp:lastModifiedBy>CJWypasek</cp:lastModifiedBy>
  <dcterms:created xsi:type="dcterms:W3CDTF">2022-02-14T20:29:39Z</dcterms:created>
  <dcterms:modified xsi:type="dcterms:W3CDTF">2022-03-30T18:26:38Z</dcterms:modified>
</cp:coreProperties>
</file>