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SingleCells2.xml" ContentType="application/vnd.openxmlformats-officedocument.spreadsheetml.tableSingleCell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SingleCells3.xml" ContentType="application/vnd.openxmlformats-officedocument.spreadsheetml.tableSingleCell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DS\dev\lib\github\WDataSci\WDS-ModelSpec\master\WDS-XML\"/>
    </mc:Choice>
  </mc:AlternateContent>
  <xr:revisionPtr revIDLastSave="0" documentId="13_ncr:1_{C30023C8-CFA9-4AAE-A10B-415A408A0A65}" xr6:coauthVersionLast="47" xr6:coauthVersionMax="47" xr10:uidLastSave="{00000000-0000-0000-0000-000000000000}"/>
  <bookViews>
    <workbookView xWindow="4900" yWindow="4900" windowWidth="28800" windowHeight="15460" activeTab="2" xr2:uid="{BEA9149E-AA27-405B-93EC-C4A7D91493C6}"/>
  </bookViews>
  <sheets>
    <sheet name="StocksAndFlowsSpec" sheetId="1" r:id="rId1"/>
    <sheet name="StatesAndStagesSpec" sheetId="2" r:id="rId2"/>
    <sheet name="MatrixMap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0" i="3" l="1" a="1"/>
  <c r="L10" i="3" s="1"/>
  <c r="F12" i="3" a="1"/>
  <c r="F12" i="3" s="1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12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12" i="3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13" i="2"/>
  <c r="Y12" i="2" a="1"/>
  <c r="Y12" i="2" s="1"/>
  <c r="X13" i="2" a="1"/>
  <c r="X13" i="2" s="1"/>
  <c r="B3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<sst xmlns="http://schemas.openxmlformats.org/spreadsheetml/2006/main" count="786" uniqueCount="367">
  <si>
    <t>Stock And Flow Specification</t>
  </si>
  <si>
    <t>Name</t>
  </si>
  <si>
    <t>Units Specification</t>
  </si>
  <si>
    <t>Handle</t>
  </si>
  <si>
    <t>SF</t>
  </si>
  <si>
    <t>UnitsSpec</t>
  </si>
  <si>
    <t>Units</t>
  </si>
  <si>
    <t>Parameter List</t>
  </si>
  <si>
    <t>Position</t>
  </si>
  <si>
    <t>Mneumonic</t>
  </si>
  <si>
    <t>Shorthand</t>
  </si>
  <si>
    <t>Concept</t>
  </si>
  <si>
    <t>ActualsVariable</t>
  </si>
  <si>
    <t>Type</t>
  </si>
  <si>
    <t>ToSimInd</t>
  </si>
  <si>
    <t>SimCVStructural</t>
  </si>
  <si>
    <t>SimCVPerPeriod</t>
  </si>
  <si>
    <t>Value</t>
  </si>
  <si>
    <t>n</t>
  </si>
  <si>
    <t>MC</t>
  </si>
  <si>
    <t>StocksHandle</t>
  </si>
  <si>
    <t>string</t>
  </si>
  <si>
    <t>StockSpec</t>
  </si>
  <si>
    <t>GeneralPrefix</t>
  </si>
  <si>
    <t>U</t>
  </si>
  <si>
    <t>FlowsHandle</t>
  </si>
  <si>
    <t>FlowSpec</t>
  </si>
  <si>
    <t>OrdersHandle</t>
  </si>
  <si>
    <t>SFOrderSpec</t>
  </si>
  <si>
    <t>Stock Specification</t>
  </si>
  <si>
    <t>Stocks</t>
  </si>
  <si>
    <t>Number</t>
  </si>
  <si>
    <t>LaterUse</t>
  </si>
  <si>
    <t>Treatment</t>
  </si>
  <si>
    <t>FOutput</t>
  </si>
  <si>
    <t>MOutput</t>
  </si>
  <si>
    <t>SimCV</t>
  </si>
  <si>
    <t>NumberOfBases</t>
  </si>
  <si>
    <t>Base1Type</t>
  </si>
  <si>
    <t>Base1Variable</t>
  </si>
  <si>
    <t>Base1IndexOrCode</t>
  </si>
  <si>
    <t>Base1Weighting</t>
  </si>
  <si>
    <t>Base2Type</t>
  </si>
  <si>
    <t>Base2Variable</t>
  </si>
  <si>
    <t>Base2IndexOrCode</t>
  </si>
  <si>
    <t>Base2Weighting</t>
  </si>
  <si>
    <t>Base3Type</t>
  </si>
  <si>
    <t>Base3Variable</t>
  </si>
  <si>
    <t>Base3IndexOrCode</t>
  </si>
  <si>
    <t>Base3Weighting</t>
  </si>
  <si>
    <t>Base4Type</t>
  </si>
  <si>
    <t>Base4Variable</t>
  </si>
  <si>
    <t>Base4IndexOrCode</t>
  </si>
  <si>
    <t>Base4Weighting</t>
  </si>
  <si>
    <t>Base5Type</t>
  </si>
  <si>
    <t>Base5Variable</t>
  </si>
  <si>
    <t>Base5IndexOrCode</t>
  </si>
  <si>
    <t>Base5Weighting</t>
  </si>
  <si>
    <t>Base6Type</t>
  </si>
  <si>
    <t>Base6Variable</t>
  </si>
  <si>
    <t>Base6IndexOrCode</t>
  </si>
  <si>
    <t>Base6Weighting</t>
  </si>
  <si>
    <t>BAR</t>
  </si>
  <si>
    <t>AR</t>
  </si>
  <si>
    <t>Accounts Receivable</t>
  </si>
  <si>
    <t>stARBalance</t>
  </si>
  <si>
    <t>Agg</t>
  </si>
  <si>
    <t>NA</t>
  </si>
  <si>
    <t>NC</t>
  </si>
  <si>
    <t>BFCs</t>
  </si>
  <si>
    <t>BFees</t>
  </si>
  <si>
    <t>Bcash</t>
  </si>
  <si>
    <t>Bpurch</t>
  </si>
  <si>
    <t>BPB</t>
  </si>
  <si>
    <t>PB</t>
  </si>
  <si>
    <t>Principal Balance</t>
  </si>
  <si>
    <t>stPrincipalBalance</t>
  </si>
  <si>
    <t>BCash</t>
  </si>
  <si>
    <t>BCL</t>
  </si>
  <si>
    <t>CL</t>
  </si>
  <si>
    <t>Credit Limit</t>
  </si>
  <si>
    <t>stCreditLimit</t>
  </si>
  <si>
    <t>SLR</t>
  </si>
  <si>
    <t>BUR</t>
  </si>
  <si>
    <t>FCLI</t>
  </si>
  <si>
    <t>BPurch</t>
  </si>
  <si>
    <t>Purch</t>
  </si>
  <si>
    <t>Purchases Balance</t>
  </si>
  <si>
    <t>stPurch</t>
  </si>
  <si>
    <t>SumOfBases</t>
  </si>
  <si>
    <t>TDPurch</t>
  </si>
  <si>
    <t>DFPurch</t>
  </si>
  <si>
    <t>FPurch</t>
  </si>
  <si>
    <t>B</t>
  </si>
  <si>
    <t>BBT</t>
  </si>
  <si>
    <t>BT</t>
  </si>
  <si>
    <t>Balance Transfers</t>
  </si>
  <si>
    <t>stBT</t>
  </si>
  <si>
    <t>TDBT</t>
  </si>
  <si>
    <t>DFBT</t>
  </si>
  <si>
    <t>FBT</t>
  </si>
  <si>
    <t>Cash</t>
  </si>
  <si>
    <t>Cash Advances Balance</t>
  </si>
  <si>
    <t>stCash</t>
  </si>
  <si>
    <t>TDCash</t>
  </si>
  <si>
    <t>DFCash</t>
  </si>
  <si>
    <t>FCash</t>
  </si>
  <si>
    <t>Fees</t>
  </si>
  <si>
    <t>stFees</t>
  </si>
  <si>
    <t>TDFees</t>
  </si>
  <si>
    <t>DFFees</t>
  </si>
  <si>
    <t>FFees</t>
  </si>
  <si>
    <t>FCs</t>
  </si>
  <si>
    <t>FinanceCharges</t>
  </si>
  <si>
    <t>stFCs</t>
  </si>
  <si>
    <t>TDFCs</t>
  </si>
  <si>
    <t>DFFCs</t>
  </si>
  <si>
    <t>FFCs</t>
  </si>
  <si>
    <t>BARSR</t>
  </si>
  <si>
    <t>ARSR</t>
  </si>
  <si>
    <t>Simple A/R Roll</t>
  </si>
  <si>
    <t>TBF</t>
  </si>
  <si>
    <t>Orders</t>
  </si>
  <si>
    <t>BRPmts</t>
  </si>
  <si>
    <t>RPmts</t>
  </si>
  <si>
    <t>Residual Payments (should be zero, but can result from small negative balances)</t>
  </si>
  <si>
    <t>Resid</t>
  </si>
  <si>
    <t>BRTB</t>
  </si>
  <si>
    <t>RTB</t>
  </si>
  <si>
    <t>Right To Buy</t>
  </si>
  <si>
    <t>Bounder</t>
  </si>
  <si>
    <t>FCLR</t>
  </si>
  <si>
    <t>FPmts</t>
  </si>
  <si>
    <t>Ffees</t>
  </si>
  <si>
    <t>USF</t>
  </si>
  <si>
    <t>IndexOrCode</t>
  </si>
  <si>
    <t>FinanceCharges Balance simple rolls</t>
  </si>
  <si>
    <t>Fees Balance simple rolls</t>
  </si>
  <si>
    <t>FWO</t>
  </si>
  <si>
    <t>Cash Advances simple rolls</t>
  </si>
  <si>
    <t>Balance Transfer simple rolls</t>
  </si>
  <si>
    <t>Purchase Balance simple rolls</t>
  </si>
  <si>
    <t>FFCsPurch</t>
  </si>
  <si>
    <t>FFCsBT</t>
  </si>
  <si>
    <t>BalanceBasisBalanceBiasedRoll</t>
  </si>
  <si>
    <t>FFCsCash</t>
  </si>
  <si>
    <t>Flow Specification</t>
  </si>
  <si>
    <t>Flows</t>
  </si>
  <si>
    <t>PrePost</t>
  </si>
  <si>
    <t>AorS</t>
  </si>
  <si>
    <t>RollWeighting</t>
  </si>
  <si>
    <t>NumberOfFlowMatrices</t>
  </si>
  <si>
    <t>Purchases</t>
  </si>
  <si>
    <t>Pre</t>
  </si>
  <si>
    <t>A</t>
  </si>
  <si>
    <t>UnitBasisUnitRollBounded</t>
  </si>
  <si>
    <t>ftPurchases</t>
  </si>
  <si>
    <t>ftBT</t>
  </si>
  <si>
    <t>Cash Advances</t>
  </si>
  <si>
    <t>ftCash</t>
  </si>
  <si>
    <t>Pmts</t>
  </si>
  <si>
    <t>Payments</t>
  </si>
  <si>
    <t>S</t>
  </si>
  <si>
    <t>UnitBasisUnitRoll</t>
  </si>
  <si>
    <t>ftPayments</t>
  </si>
  <si>
    <t>F</t>
  </si>
  <si>
    <t>ftFees</t>
  </si>
  <si>
    <t>CLI</t>
  </si>
  <si>
    <t>Credit Limit Increase</t>
  </si>
  <si>
    <t>ftCLI</t>
  </si>
  <si>
    <t>FCsPurch</t>
  </si>
  <si>
    <t>Finance Charges Purchases</t>
  </si>
  <si>
    <t>ftFCsPurchases</t>
  </si>
  <si>
    <t>FCsBT</t>
  </si>
  <si>
    <t>Finance Charges Cash</t>
  </si>
  <si>
    <t>ftFCsBT</t>
  </si>
  <si>
    <t>FCsCash</t>
  </si>
  <si>
    <t>ftFCsCash</t>
  </si>
  <si>
    <t>Finance Charges</t>
  </si>
  <si>
    <t>Post</t>
  </si>
  <si>
    <t>ftFCs</t>
  </si>
  <si>
    <t>FEPmts</t>
  </si>
  <si>
    <t>Epmts</t>
  </si>
  <si>
    <t>Effective Payments (Less Over Payments)</t>
  </si>
  <si>
    <t>ftPaids</t>
  </si>
  <si>
    <t>FPrin</t>
  </si>
  <si>
    <t>Prin</t>
  </si>
  <si>
    <t>Principal Additions</t>
  </si>
  <si>
    <t>ftPrin</t>
  </si>
  <si>
    <t>Fpurch</t>
  </si>
  <si>
    <t>FPaidPrin</t>
  </si>
  <si>
    <t>PaidPrin</t>
  </si>
  <si>
    <t>Paid Principal</t>
  </si>
  <si>
    <t>ftPaidPrin</t>
  </si>
  <si>
    <t>FYield</t>
  </si>
  <si>
    <t>Yield</t>
  </si>
  <si>
    <t>Billed Yield</t>
  </si>
  <si>
    <t>ftYield</t>
  </si>
  <si>
    <t>FCollFees</t>
  </si>
  <si>
    <t>CollFees</t>
  </si>
  <si>
    <t>Collected Fees</t>
  </si>
  <si>
    <t>ftFeesPaid</t>
  </si>
  <si>
    <t>FCollYield</t>
  </si>
  <si>
    <t>CollYield</t>
  </si>
  <si>
    <t>Collected yield</t>
  </si>
  <si>
    <t>ftYieldPaid</t>
  </si>
  <si>
    <t>CLR</t>
  </si>
  <si>
    <t>Credit Limit Ratio</t>
  </si>
  <si>
    <t>FAPmts</t>
  </si>
  <si>
    <t>Apmts</t>
  </si>
  <si>
    <t>Actual Payments (effective payments less yield write offs)</t>
  </si>
  <si>
    <t>WO</t>
  </si>
  <si>
    <t>Write off of yield</t>
  </si>
  <si>
    <t>Bfees</t>
  </si>
  <si>
    <t>Cash pmts</t>
  </si>
  <si>
    <t>D</t>
  </si>
  <si>
    <t>WaterFallPaydown</t>
  </si>
  <si>
    <t>Fcash</t>
  </si>
  <si>
    <t>BT pmts</t>
  </si>
  <si>
    <t>Purchases pmts</t>
  </si>
  <si>
    <t>Fees pmts</t>
  </si>
  <si>
    <t>FinanceCharges pmts</t>
  </si>
  <si>
    <t>Freeze Row</t>
  </si>
  <si>
    <t>Verbose Returns</t>
  </si>
  <si>
    <t>Minimal Returns</t>
  </si>
  <si>
    <t>Stage and State Specification</t>
  </si>
  <si>
    <t>Stage Spec</t>
  </si>
  <si>
    <t>SS</t>
  </si>
  <si>
    <t>StageSpec</t>
  </si>
  <si>
    <t>Stages</t>
  </si>
  <si>
    <t>States</t>
  </si>
  <si>
    <t>aaaNULL</t>
  </si>
  <si>
    <t>adaD0</t>
  </si>
  <si>
    <t>adaD1</t>
  </si>
  <si>
    <t>adaD2</t>
  </si>
  <si>
    <t>adaD3</t>
  </si>
  <si>
    <t>adaD4</t>
  </si>
  <si>
    <t>adaD5</t>
  </si>
  <si>
    <t>adaD6</t>
  </si>
  <si>
    <t>StagesHandle</t>
  </si>
  <si>
    <t>StatesHandle</t>
  </si>
  <si>
    <t>StateSpec</t>
  </si>
  <si>
    <t>BridgesHandle</t>
  </si>
  <si>
    <t>BridgeSpec</t>
  </si>
  <si>
    <t>State Spec</t>
  </si>
  <si>
    <t>Bridge Spec</t>
  </si>
  <si>
    <t>NumberOfBaseDimensions</t>
  </si>
  <si>
    <t>Number of dimensions to use in Flow Factor matrices</t>
  </si>
  <si>
    <t>Bridges</t>
  </si>
  <si>
    <t>NumberOfAgePages</t>
  </si>
  <si>
    <t>StatePosition</t>
  </si>
  <si>
    <t>From</t>
  </si>
  <si>
    <t>To</t>
  </si>
  <si>
    <t>Axis 1 Limit</t>
  </si>
  <si>
    <t>Axis 2 Limit</t>
  </si>
  <si>
    <t>DefaultType</t>
  </si>
  <si>
    <t>PickUp</t>
  </si>
  <si>
    <t>Axis 3 Limit</t>
  </si>
  <si>
    <t>Axis 4 Limit</t>
  </si>
  <si>
    <t>aaa</t>
  </si>
  <si>
    <t>StateVariable</t>
  </si>
  <si>
    <t>atState</t>
  </si>
  <si>
    <t>StateVariableLag1</t>
  </si>
  <si>
    <t>atStateLag1</t>
  </si>
  <si>
    <t>Transient</t>
  </si>
  <si>
    <t>NullInd</t>
  </si>
  <si>
    <t>NotionalDelq</t>
  </si>
  <si>
    <t>NULL</t>
  </si>
  <si>
    <t>Initial, or no previous month in history</t>
  </si>
  <si>
    <t>Yes</t>
  </si>
  <si>
    <t>StrictlyTransient</t>
  </si>
  <si>
    <t>No</t>
  </si>
  <si>
    <t>I</t>
  </si>
  <si>
    <t>D0</t>
  </si>
  <si>
    <t>D1</t>
  </si>
  <si>
    <t>D2</t>
  </si>
  <si>
    <t>D3</t>
  </si>
  <si>
    <t>D4</t>
  </si>
  <si>
    <t>D5</t>
  </si>
  <si>
    <t>D6</t>
  </si>
  <si>
    <t>1</t>
  </si>
  <si>
    <t>2</t>
  </si>
  <si>
    <t>3</t>
  </si>
  <si>
    <t>Significant Delinquency</t>
  </si>
  <si>
    <t>Initial Prior to Significant Delinquency</t>
  </si>
  <si>
    <t>WDSStocksAndFlows</t>
  </si>
  <si>
    <t>ModelHandle</t>
  </si>
  <si>
    <t>abaD0</t>
  </si>
  <si>
    <t>Current prior to any delinquency</t>
  </si>
  <si>
    <t>Current post any delinquency</t>
  </si>
  <si>
    <t>1 payment due</t>
  </si>
  <si>
    <t>2 payments due</t>
  </si>
  <si>
    <t>3 payments due</t>
  </si>
  <si>
    <t>4 payments due</t>
  </si>
  <si>
    <t>5 payments due</t>
  </si>
  <si>
    <t>6 payments due</t>
  </si>
  <si>
    <t>DX</t>
  </si>
  <si>
    <t>ataDX</t>
  </si>
  <si>
    <t>auaSC</t>
  </si>
  <si>
    <t>SC</t>
  </si>
  <si>
    <t>PE</t>
  </si>
  <si>
    <t>axaDF</t>
  </si>
  <si>
    <t>DF</t>
  </si>
  <si>
    <t>axaPF</t>
  </si>
  <si>
    <t>PF</t>
  </si>
  <si>
    <t>ataPE</t>
  </si>
  <si>
    <t>PIF Event</t>
  </si>
  <si>
    <t>Subsequent Collections</t>
  </si>
  <si>
    <t>6+ Default event</t>
  </si>
  <si>
    <t>Default Final, no subsequent collections</t>
  </si>
  <si>
    <t>PIF Final</t>
  </si>
  <si>
    <t>CR</t>
  </si>
  <si>
    <t>TV</t>
  </si>
  <si>
    <t>Stg</t>
  </si>
  <si>
    <t>Stg1</t>
  </si>
  <si>
    <t>Stg2</t>
  </si>
  <si>
    <t>Stg3</t>
  </si>
  <si>
    <t>Absorbing</t>
  </si>
  <si>
    <t>Sources/Sinks/Sojourns</t>
  </si>
  <si>
    <t>Codes</t>
  </si>
  <si>
    <t>Helper</t>
  </si>
  <si>
    <t>Source</t>
  </si>
  <si>
    <t>Sojourn</t>
  </si>
  <si>
    <t>Sink - exit</t>
  </si>
  <si>
    <t>Bridge &amp; Sojourn</t>
  </si>
  <si>
    <t>Subsequent Recoveries and wrap-up</t>
  </si>
  <si>
    <t>WDSStateSpace</t>
  </si>
  <si>
    <t>Matrix Map Example</t>
  </si>
  <si>
    <t>Number of States</t>
  </si>
  <si>
    <t>Number of Additional Axes</t>
  </si>
  <si>
    <t>Provides NonZeroCoords</t>
  </si>
  <si>
    <t>&lt;&lt;For sparse matrices</t>
  </si>
  <si>
    <t>Additional Axes Upper Limits</t>
  </si>
  <si>
    <t>Additional Axes Lower Limits</t>
  </si>
  <si>
    <t>StateLabel</t>
  </si>
  <si>
    <t>State Labels</t>
  </si>
  <si>
    <t>TestMatrix</t>
  </si>
  <si>
    <t>Row</t>
  </si>
  <si>
    <t>Axis1</t>
  </si>
  <si>
    <t>Axis2</t>
  </si>
  <si>
    <t>Axis3</t>
  </si>
  <si>
    <t>Axis4</t>
  </si>
  <si>
    <t>Col1</t>
  </si>
  <si>
    <t>Col2</t>
  </si>
  <si>
    <t>Col3</t>
  </si>
  <si>
    <t>Col4</t>
  </si>
  <si>
    <t>Col5</t>
  </si>
  <si>
    <t>Col6</t>
  </si>
  <si>
    <t>Col7</t>
  </si>
  <si>
    <t>Col8</t>
  </si>
  <si>
    <t>Col9</t>
  </si>
  <si>
    <t>Col10</t>
  </si>
  <si>
    <t>Col11</t>
  </si>
  <si>
    <t>Col12</t>
  </si>
  <si>
    <t>Col13</t>
  </si>
  <si>
    <t>Col14</t>
  </si>
  <si>
    <t>Parameterizations</t>
  </si>
  <si>
    <t>Static Betas</t>
  </si>
  <si>
    <t>Label</t>
  </si>
  <si>
    <t>J</t>
  </si>
  <si>
    <t>FlowRef</t>
  </si>
  <si>
    <t>OpZeroOrOne</t>
  </si>
  <si>
    <t>Functional Inputs</t>
  </si>
  <si>
    <t>BaseSetInd</t>
  </si>
  <si>
    <t>Script</t>
  </si>
  <si>
    <t>InputReference</t>
  </si>
  <si>
    <t>Redundant Functional Inputs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</si>
</sst>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9" fontId="0" fillId="0" borderId="0" xfId="0" applyNumberFormat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0" xfId="0" quotePrefix="1"/>
    <xf numFmtId="49" fontId="0" fillId="0" borderId="0" xfId="0" quotePrefix="1" applyNumberFormat="1"/>
    <xf numFmtId="0" fontId="1" fillId="2" borderId="4" xfId="0" applyFont="1" applyFill="1" applyBorder="1"/>
    <xf numFmtId="0" fontId="1" fillId="2" borderId="0" xfId="0" applyFont="1" applyFill="1" applyBorder="1"/>
    <xf numFmtId="0" fontId="1" fillId="2" borderId="5" xfId="0" applyFont="1" applyFill="1" applyBorder="1"/>
    <xf numFmtId="49" fontId="0" fillId="3" borderId="3" xfId="0" applyNumberFormat="1" applyFont="1" applyFill="1" applyBorder="1"/>
    <xf numFmtId="0" fontId="0" fillId="0" borderId="0" xfId="0" applyNumberFormat="1"/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:schema xmlns:xs="http://www.w3.org/2001/XMLSchema" xmlns="" attributeFormDefault="unqualified" elementFormDefault="qualified">
      <xs:element name="WDSMatrix">
        <xs:complexType>
          <xs:sequence>
            <xs:element name="NumberOfStates" type="xs:int"/>
            <xs:element name="NumberOfAdditionalAxes" type="xs:int"/>
            <xs:element name="ProvidesNonZeroCoords" type="xs:int"/>
            <xs:element name="AdditionalAxesUpperLimits">
              <xs:complexType>
                <xs:sequence>
                  <xs:element name="Axis1" type="xs:int"/>
                  <xs:element name="Axis2" type="xs:int"/>
                  <xs:element name="Axis3" type="xs:int"/>
                  <xs:element name="Axis4" type="xs:int"/>
                </xs:sequence>
              </xs:complexType>
            </xs:element>
            <xs:element name="AdditionalAxesLowerLimits">
              <xs:complexType>
                <xs:sequence>
                  <xs:element name="Axis1" type="xs:int"/>
                  <xs:element name="Axis2" type="xs:int"/>
                  <xs:element name="Axis3" type="xs:int"/>
                  <xs:element name="Axis4" type="xs:int"/>
                </xs:sequence>
              </xs:complexType>
            </xs:element>
            <xs:element name="StateLabels">
              <xs:complexType>
                <xs:sequence>
                  <xs:element maxOccurs="unbounded" name="StateLabel">
                    <xs:complexType>
                      <xs:simpleContent>
                        <xs:extension base="xs:string">
                          <xs:attribute name="Position" type="xs:int" use="required"/>
                        </xs:extension>
                      </xs:simpleContent>
                    </xs:complexType>
                  </xs:element>
                </xs:sequence>
              </xs:complexType>
            </xs:element>
            <xs:element name="NonZeroElements">
              <xs:complexType>
                <xs:sequence>
                  <xs:element name="Number" type="xs:int"/>
                  <xs:element name="NonZeroCoordinates">
                    <xs:complexType>
                      <xs:sequence>
                        <xs:element maxOccurs="unbounded" name="NonZeroCoordinate">
                          <xs:complexType>
                            <xs:sequence>
                              <xs:element name="I" type="xs:int"/>
                              <xs:element name="J" type="xs:int"/>
                            </xs:sequence>
                            <xs:attribute name="Position" type="xs:int" use="required"/>
                          </xs:complexType>
                        </xs:element>
                      </xs:sequence>
                    </xs:complexType>
                  </xs:element>
                </xs:sequence>
              </xs:complexType>
            </xs:element>
            <xs:element maxOccurs="unbounded" name="MData">
              <xs:complexType>
                <xs:sequence>
                  <xs:element name="Col1" type="xs:double"/>
                  <xs:element name="Col2" type="xs:double"/>
                  <xs:element name="Col3" type="xs:double"/>
                  <xs:element name="Col4" type="xs:double"/>
                  <xs:element name="Col5" type="xs:double"/>
                  <xs:element name="Col6" type="xs:double"/>
                  <xs:element name="Col7" type="xs:double"/>
                  <xs:element name="Col8" type="xs:double"/>
                  <xs:element name="Col9" type="xs:double"/>
                  <xs:element name="Col10" type="xs:double"/>
                  <xs:element name="Col11" type="xs:double"/>
                  <xs:element name="Col12" type="xs:double"/>
                  <xs:element name="Col13" type="xs:double"/>
                  <xs:element name="Col14" type="xs:double"/>
                  <xs:element name="Col15" type="xs:double"/>
                  <xs:element name="Col16" type="xs:double"/>
                  <xs:element name="Col17" type="xs:double"/>
                  <xs:element name="Col18" type="xs:double"/>
                  <xs:element name="Col19" type="xs:double"/>
                  <xs:element name="Col20" type="xs:double"/>
                  <xs:element name="Col21" type="xs:double"/>
                  <xs:element name="Col22" type="xs:double"/>
                  <xs:element name="Col23" type="xs:double"/>
                  <xs:element name="Col24" type="xs:double"/>
                  <xs:element name="Col25" type="xs:double"/>
                  <xs:element name="Col26" type="xs:double"/>
                  <xs:element name="Col27" type="xs:double"/>
                  <xs:element name="Col28" type="xs:double"/>
                  <xs:element name="Col29" type="xs:double"/>
                  <xs:element name="Col30" type="xs:double"/>
                  <xs:element name="Col31" type="xs:double"/>
                  <xs:element name="Col32" type="xs:double"/>
                  <xs:element name="Col33" type="xs:double"/>
                  <xs:element name="Col34" type="xs:double"/>
                  <xs:element name="Col35" type="xs:double"/>
                  <xs:element name="Col36" type="xs:double"/>
                  <xs:element name="Col37" type="xs:double"/>
                  <xs:element name="Col38" type="xs:double"/>
                  <xs:element name="Col39" type="xs:double"/>
                  <xs:element name="Col40" type="xs:double"/>
                  <xs:element name="Col41" type="xs:double"/>
                  <xs:element name="Col42" type="xs:double"/>
                  <xs:element name="Col43" type="xs:double"/>
                  <xs:element name="Col44" type="xs:double"/>
                  <xs:element name="Col45" type="xs:double"/>
                  <xs:element name="Col46" type="xs:double"/>
                  <xs:element name="Col47" type="xs:double"/>
                  <xs:element name="Col48" type="xs:double"/>
                  <xs:element name="Col49" type="xs:double"/>
                  <xs:element name="Col50" type="xs:double"/>
                  <xs:element name="Col51" type="xs:double"/>
                  <xs:element name="Col52" type="xs:double"/>
                  <xs:element name="Col53" type="xs:double"/>
                  <xs:element name="Col54" type="xs:double"/>
                  <xs:element name="Col55" type="xs:double"/>
                  <xs:element name="Col56" type="xs:double"/>
                  <xs:element name="Col57" type="xs:double"/>
                  <xs:element name="Col58" type="xs:double"/>
                  <xs:element name="Col59" type="xs:double"/>
                  <xs:element name="Col60" type="xs:double"/>
                  <xs:element name="Col61" type="xs:double"/>
                  <xs:element name="Col62" type="xs:double"/>
                  <xs:element name="Col63" type="xs:double"/>
                  <xs:element name="Col64" type="xs:double"/>
                </xs:sequence>
                <xs:attribute name="Row" type="xs:int" use="required"/>
                <xs:attribute name="Axis1" type="xs:int" use="required"/>
                <xs:attribute name="Axis2" type="xs:int" use="required"/>
                <xs:attribute name="Axis3" type="xs:int" use="required"/>
                <xs:attribute name="Axis4" type="xs:int" use="required"/>
              </xs:complexType>
            </xs:element>
            <xs:element name="Betas">
              <xs:complexType>
                <xs:sequence>
                  <xs:element name="Number" type="xs:int"/>
                  <xs:element maxOccurs="unbounded" name="Beta">
                    <xs:complexType>
                      <xs:sequence>
                        <xs:element name="Label" type="xs:string"/>
                        <xs:element name="I" type="xs:int"/>
                        <xs:element name="J" type="xs:int"/>
                        <xs:element name="Value" type="xs:double"/>
                        <xs:element name="FlowRef" type="xs:int"/>
                        <xs:element name="OpZeroOrOne" type="xs:int"/>
                      </xs:sequence>
                      <xs:attribute name="Position" type="xs:int" use="required"/>
                    </xs:complexType>
                  </xs:element>
                </xs:sequence>
              </xs:complexType>
            </xs:element>
            <xs:element name="FunctionalInputs">
              <xs:complexType>
                <xs:sequence>
                  <xs:element name="Number" type="xs:int"/>
                  <xs:element maxOccurs="unbounded" name="FunctionInput">
                    <xs:complexType>
                      <xs:sequence>
                        <xs:element name="Label" type="xs:string"/>
                        <xs:element name="I" type="xs:int"/>
                        <xs:element name="J" type="xs:int"/>
                        <xs:element name="Value" type="xs:double"/>
                        <xs:element name="FlowRef" type="xs:int"/>
                        <xs:element name="OpZeroOrOne" type="xs:int"/>
                        <xs:element name="BaseSetInd" type="xs:int"/>
                        <xs:element name="Script" type="xs:string"/>
                        <xs:element name="InputReference" type="xs:int"/>
                      </xs:sequence>
                      <xs:attribute name="Position" type="xs:int" use="required"/>
                    </xs:complexType>
                  </xs:element>
                </xs:sequence>
              </xs:complexType>
            </xs:element>
            <xs:element name="RedundantFunctionalInputs">
              <xs:complexType>
                <xs:sequence>
                  <xs:element name="Number" type="xs:int"/>
                  <xs:element maxOccurs="unbounded" name="FunctionInput">
                    <xs:complexType>
                      <xs:sequence>
                        <xs:element name="Label" type="xs:string"/>
                        <xs:element name="I" type="xs:int"/>
                        <xs:element name="J" type="xs:int"/>
                        <xs:element name="Value" type="xs:double"/>
                        <xs:element name="FlowRef" type="xs:int"/>
                        <xs:element name="OpZeroOrOne" type="xs:int"/>
                        <xs:element name="BaseSetInd" type="xs:int"/>
                        <xs:element name="Script" type="xs:string"/>
                        <xs:element name="InputReference" type="xs:int"/>
                      </xs:sequence>
                      <xs:attribute name="Position" type="xs:int" use="required"/>
                    </xs:complexType>
                  </xs:element>
                </xs:sequence>
              </xs:complexType>
            </xs:element>
          </xs:sequence>
          <xs:attribute name="Name" type="xs:string" use="required"/>
        </xs:complexType>
      </xs:element>
    </xs:schema>
  </Schema>
  <Schema ID="Schema4">
    <xs:schema xmlns:xs="http://www.w3.org/2001/XMLSchema" xmlns="" attributeFormDefault="unqualified" elementFormDefault="qualified">
      <xs:element name="WDSStateSpace">
        <xs:complexType>
          <xs:sequence>
            <xs:element name="ParameterList">
              <xs:complexType>
                <xs:sequence>
                  <xs:element maxOccurs="unbounded" name="Parameter">
                    <xs:complexType>
                      <xs:sequence>
                        <xs:element name="Value" type="xs:string"/>
                      </xs:sequence>
                      <xs:attribute name="Name" type="xs:string" use="required"/>
                      <xs:attribute name="Type" type="xs:string" use="required"/>
                    </xs:complexType>
                  </xs:element>
                </xs:sequence>
              </xs:complexType>
            </xs:element>
            <xs:element name="States">
              <xs:complexType>
                <xs:sequence>
                  <xs:element name="Number" type="xs:int"/>
                  <xs:element name="NumberOfBaseDimensions" type="xs:int"/>
                  <xs:element name="NumberOfAgePages" type="xs:int"/>
                  <xs:element name="Axis1LimitDefault" type="xs:int"/>
                  <xs:element name="Axis2LimitDefault" type="xs:int"/>
                  <xs:element name="Axis3LimitDefault" type="xs:int"/>
                  <xs:element name="Axis4LimitDefault" type="xs:int"/>
                  <xs:element name="ParameterList">
                    <xs:complexType>
                      <xs:sequence>
                        <xs:element maxOccurs="unbounded" name="Parameter">
                          <xs:complexType>
                            <xs:sequence>
                              <xs:element name="Value" type="xs:string"/>
                            </xs:sequence>
                            <xs:attribute name="Name" type="xs:string" use="required"/>
                            <xs:attribute name="Type" type="xs:string" use="required"/>
                          </xs:complexType>
                        </xs:element>
                      </xs:sequence>
                    </xs:complexType>
                  </xs:element>
                  <xs:element maxOccurs="unbounded" name="State">
                    <xs:complexType>
                      <xs:sequence>
                        <xs:element name="Mneumonic" type="xs:string"/>
                        <xs:element name="Shorthand" type="xs:string"/>
                        <xs:element name="Concept" type="xs:string"/>
                        <xs:element name="NullInd" type="xs:string"/>
                        <xs:element name="Type" type="xs:string"/>
                        <xs:element name="NotionalDelq" type="xs:int"/>
                      </xs:sequence>
                      <xs:attribute name="Position" type="xs:int" use="required"/>
                    </xs:complexType>
                  </xs:element>
                </xs:sequence>
                <xs:attribute name="Handle" type="xs:string" use="required"/>
              </xs:complexType>
            </xs:element>
            <xs:element name="Stages">
              <xs:complexType>
                <xs:sequence>
                  <xs:element name="Number" type="xs:int"/>
                  <xs:element name="ParameterList">
                    <xs:complexType>
                      <xs:sequence>
                        <xs:element maxOccurs="unbounded" name="Parameter">
                          <xs:complexType>
                            <xs:sequence>
                              <xs:element name="Value" type="xs:string"/>
                            </xs:sequence>
                            <xs:attribute name="Name" type="xs:string" use="required"/>
                            <xs:attribute name="Type" type="xs:string" use="required"/>
                          </xs:complexType>
                        </xs:element>
                      </xs:sequence>
                    </xs:complexType>
                  </xs:element>
                  <xs:element maxOccurs="unbounded" name="Stage">
                    <xs:complexType>
                      <xs:sequence>
                        <xs:element name="Mneumonic" type="xs:string"/>
                        <xs:element name="Shorthand" type="xs:string"/>
                        <xs:element name="Concept" type="xs:string"/>
                        <xs:element name="Type" type="xs:string"/>
                        <xs:element name="ModelHandle" type="xs:string"/>
                      </xs:sequence>
                      <xs:attribute name="Position" type="xs:int" use="required"/>
                    </xs:complexType>
                  </xs:element>
                </xs:sequence>
                <xs:attribute name="Handle" type="xs:string" use="required"/>
              </xs:complexType>
            </xs:element>
            <xs:element name="Bridges">
              <xs:complexType>
                <xs:sequence>
                  <xs:element name="Number" type="xs:int"/>
                  <xs:element name="ParameterList">
                    <xs:complexType>
                      <xs:sequence>
                        <xs:element maxOccurs="unbounded" name="Parameter">
                          <xs:complexType>
                            <xs:sequence>
                              <xs:element name="Value" type="xs:string"/>
                            </xs:sequence>
                            <xs:attribute name="Name" type="xs:string" use="required"/>
                            <xs:attribute name="Type" type="xs:string" use="required"/>
                          </xs:complexType>
                        </xs:element>
                      </xs:sequence>
                    </xs:complexType>
                  </xs:element>
                  <xs:element maxOccurs="unbounded" name="Bridge">
                    <xs:complexType>
                      <xs:sequence>
                        <xs:element name="StatePosition" type="xs:int"/>
                        <xs:element name="From" type="xs:int"/>
                        <xs:element name="To" type="xs:int"/>
                        <xs:element name="Type" type="xs:string"/>
                      </xs:sequence>
                      <xs:attribute name="Position" type="xs:int" use="required"/>
                    </xs:complexType>
                  </xs:element>
                </xs:sequence>
                <xs:attribute name="Handle" type="xs:string" use="required"/>
              </xs:complexType>
            </xs:element>
          </xs:sequence>
          <xs:attribute name="Name" type="xs:string" use="required"/>
          <xs:attribute name="Handle" type="xs:string" use="required"/>
        </xs:complexType>
      </xs:element>
    </xs:schema>
  </Schema>
  <Schema ID="Schema5">
    <xs:schema xmlns:xs="http://www.w3.org/2001/XMLSchema" xmlns="" attributeFormDefault="unqualified" elementFormDefault="qualified">
      <xs:element name="WDSStocksAndFlows">
        <xs:complexType>
          <xs:sequence>
            <xs:element name="ParameterList">
              <xs:complexType>
                <xs:sequence>
                  <xs:element maxOccurs="unbounded" name="Parameter">
                    <xs:complexType>
                      <xs:sequence>
                        <xs:element name="Value" type="xs:string"/>
                      </xs:sequence>
                      <xs:attribute name="Name" type="xs:string" use="required"/>
                      <xs:attribute name="Type" type="xs:string" use="required"/>
                    </xs:complexType>
                  </xs:element>
                </xs:sequence>
              </xs:complexType>
            </xs:element>
            <xs:element name="Units">
              <xs:complexType>
                <xs:sequence>
                  <xs:element name="ParameterList">
                    <xs:complexType>
                      <xs:sequence>
                        <xs:element maxOccurs="unbounded" name="Parameter">
                          <xs:complexType>
                            <xs:sequence>
                              <xs:element name="Value" type="xs:string"/>
                            </xs:sequence>
                            <xs:attribute name="Name" type="xs:string" use="required"/>
                            <xs:attribute name="Type" type="xs:string" use="required"/>
                          </xs:complexType>
                        </xs:element>
                      </xs:sequence>
                    </xs:complexType>
                  </xs:element>
                  <xs:element maxOccurs="unbounded" name="Unit">
                    <xs:complexType>
                      <xs:sequence>
                        <xs:element name="Mneumonic" type="xs:string"/>
                        <xs:element name="Shorthand" type="xs:string"/>
                        <xs:element name="Concept" type="xs:string"/>
                        <xs:element name="ActualsVariable" type="xs:string"/>
                        <xs:element name="Type" type="xs:string"/>
                        <xs:element name="ToSimInd" type="xs:int"/>
                        <xs:element name="SimCVStructural" type="xs:double"/>
                        <xs:element name="SimCVPerPeriod" type="xs:double"/>
                      </xs:sequence>
                      <xs:attribute name="Position" type="xs:int" use="required"/>
                    </xs:complexType>
                  </xs:element>
                </xs:sequence>
                <xs:attribute name="Handle" type="xs:string" use="required"/>
              </xs:complexType>
            </xs:element>
            <xs:element name="Stocks">
              <xs:complexType>
                <xs:sequence>
                  <xs:element name="Number" type="xs:int"/>
                  <xs:element name="MacroReturnNumber" type="xs:int"/>
                  <xs:element name="FunctionReturnNumber" type="xs:int"/>
                  <xs:element name="ParameterList">
                    <xs:complexType>
                      <xs:sequence>
                        <xs:element maxOccurs="unbounded" name="Parameter">
                          <xs:complexType>
                            <xs:sequence>
                              <xs:element name="Value" type="xs:string"/>
                            </xs:sequence>
                            <xs:attribute name="Name" type="xs:string" use="required"/>
                            <xs:attribute name="Type" type="xs:string" use="required"/>
                          </xs:complexType>
                        </xs:element>
                      </xs:sequence>
                    </xs:complexType>
                  </xs:element>
                  <xs:element maxOccurs="unbounded" name="Stock">
                    <xs:complexType>
                      <xs:sequence>
                        <xs:element name="Mneumonic" type="xs:string"/>
                        <xs:element name="Shorthand" type="xs:string"/>
                        <xs:element name="Concept" type="xs:string"/>
                        <xs:element name="ActualsVariable" type="xs:string"/>
                        <xs:element name="Type" type="xs:string"/>
                        <xs:element name="LaterUse" type="xs:string"/>
                        <xs:element name="Treatment" type="xs:string"/>
                        <xs:element name="FOutput" type="xs:int"/>
                        <xs:element name="MOutput" type="xs:int"/>
                        <xs:element name="ToSimInd" type="xs:int"/>
                        <xs:element name="SimCV" type="xs:double"/>
                        <xs:element name="NumberOfBases" type="xs:int"/>
                        <xs:element name="Base1Type" type="xs:int"/>
                        <xs:element name="Base1Variable" type="xs:string"/>
                        <xs:element name="Base1IndexOrCode" type="xs:int"/>
                        <xs:element name="Base1Weighting" type="xs:double"/>
                        <xs:element name="Base2Type" type="xs:int"/>
                        <xs:element name="Base2Variable" type="xs:string"/>
                        <xs:element name="Base2IndexOrCode" type="xs:int"/>
                        <xs:element name="Base2Weighting" type="xs:double"/>
                        <xs:element name="Base3Type" type="xs:int"/>
                        <xs:element name="Base3Variable" type="xs:string"/>
                        <xs:element name="Base3IndexOrCode" type="xs:int"/>
                        <xs:element name="Base3Weighting" type="xs:double"/>
                        <xs:element name="Base4Type" type="xs:int"/>
                        <xs:element name="Base4Variable" type="xs:string"/>
                        <xs:element name="Base4IndexOrCode" type="xs:int"/>
                        <xs:element name="Base4Weighting" type="xs:double"/>
                        <xs:element name="Base5Type" type="xs:int"/>
                        <xs:element name="Base5Variable" type="xs:string"/>
                        <xs:element name="Base5IndexOrCode" type="xs:int"/>
                        <xs:element name="Base5Weighting" type="xs:double"/>
                        <xs:element name="Base6Type" type="xs:int"/>
                        <xs:element name="Base6Variable" type="xs:string"/>
                        <xs:element name="Base6IndexOrCode" type="xs:int"/>
                        <xs:element name="Base6Weighting" type="xs:double"/>
                      </xs:sequence>
                      <xs:attribute name="Position" type="xs:int" use="required"/>
                    </xs:complexType>
                  </xs:element>
                </xs:sequence>
                <xs:attribute name="Handle" type="xs:string" use="required"/>
              </xs:complexType>
            </xs:element>
            <xs:element name="Flows">
              <xs:complexType>
                <xs:sequence>
                  <xs:element name="Number" type="xs:int"/>
                  <xs:element name="MacroReturnNumber" type="xs:int"/>
                  <xs:element name="FunctionReturnNumber" type="xs:int"/>
                  <xs:element name="ParameterList">
                    <xs:complexType>
                      <xs:sequence>
                        <xs:element maxOccurs="unbounded" name="Parameter">
                          <xs:complexType>
                            <xs:sequence>
                              <xs:element name="Value" type="xs:string"/>
                            </xs:sequence>
                            <xs:attribute name="Name" type="xs:string" use="required"/>
                            <xs:attribute name="Type" type="xs:string" use="required"/>
                          </xs:complexType>
                        </xs:element>
                      </xs:sequence>
                    </xs:complexType>
                  </xs:element>
                  <xs:element maxOccurs="unbounded" name="Flow">
                    <xs:complexType>
                      <xs:sequence>
                        <xs:element name="Mneumonic" type="xs:string"/>
                        <xs:element name="Shorthand" type="xs:string"/>
                        <xs:element name="Concept" type="xs:string"/>
                        <xs:element name="PrePost" type="xs:string"/>
                        <xs:element name="AorS" type="xs:string"/>
                        <xs:element name="RollWeighting" type="xs:string"/>
                        <xs:element name="ActualsVariable" type="xs:string"/>
                        <xs:element name="NumberOfFlowMatrices" type="xs:int"/>
                        <xs:element name="ToSimInd" type="xs:int"/>
                        <xs:element name="SimCV" type="xs:double"/>
                        <xs:element name="NumberOfBases" type="xs:int"/>
                        <xs:element name="Base1Type" type="xs:int"/>
                        <xs:element name="Base1Variable" type="xs:string"/>
                        <xs:element name="Base1IndexOrCode" type="xs:int"/>
                        <xs:element name="Base1Weighting" type="xs:double"/>
                        <xs:element name="Base2Type" type="xs:int"/>
                        <xs:element name="Base2Variable" type="xs:string"/>
                        <xs:element name="Base2IndexOrCode" type="xs:int"/>
                        <xs:element name="Base2Weighting" type="xs:double"/>
                        <xs:element name="Base3Type" type="xs:int"/>
                        <xs:element name="Base3Variable" type="xs:string"/>
                        <xs:element name="Base3IndexOrCode" type="xs:int"/>
                        <xs:element name="Base3Weighting" type="xs:double"/>
                        <xs:element name="Base4Type" type="xs:int"/>
                        <xs:element name="Base4Variable" type="xs:string"/>
                        <xs:element name="Base4IndexOrCode" type="xs:int"/>
                        <xs:element name="Base4Weighting" type="xs:double"/>
                        <xs:element name="Base5Type" type="xs:int"/>
                        <xs:element name="Base5Variable" type="xs:string"/>
                        <xs:element name="Base5IndexOrCode" type="xs:int"/>
                        <xs:element name="Base5Weighting" type="xs:double"/>
                        <xs:element name="Base6Type" type="xs:int"/>
                        <xs:element name="Base6Variable" type="xs:string"/>
                        <xs:element name="Base6IndexOrCode" type="xs:int"/>
                        <xs:element name="Base6Weighting" type="xs:double"/>
                      </xs:sequence>
                      <xs:attribute name="Position" type="xs:int" use="required"/>
                    </xs:complexType>
                  </xs:element>
                </xs:sequence>
                <xs:attribute name="Handle" type="xs:string" use="required"/>
              </xs:complexType>
            </xs:element>
            <xs:element name="Orders">
              <xs:complexType>
                <xs:sequence>
                  <xs:element maxOccurs="unbounded" name="Order">
                    <xs:complexType>
                      <xs:sequence>
                        <xs:element name="Mneumonic" type="xs:string"/>
                        <xs:element name="USF" type="xs:int"/>
                        <xs:element name="IndexOrCode" type="xs:int"/>
                      </xs:sequence>
                      <xs:attribute name="Position" type="xs:int" use="required"/>
                    </xs:complexType>
                  </xs:element>
                </xs:sequence>
                <xs:attribute name="Handle" type="xs:string" use="required"/>
              </xs:complexType>
            </xs:element>
          </xs:sequence>
          <xs:attribute name="Name" type="xs:string" use="required"/>
          <xs:attribute name="Handle" type="xs:string" use="required"/>
        </xs:complexType>
      </xs:element>
    </xs:schema>
  </Schema>
  <Map ID="11" Name="WDSMatrix_Map" RootElement="WDSMatrix" SchemaID="Schema3" ShowImportExportValidationErrors="false" AutoFit="true" Append="false" PreserveSortAFLayout="true" PreserveFormat="true"/>
  <Map ID="12" Name="WDSStateSpace_Map" RootElement="WDSStateSpace" SchemaID="Schema4" ShowImportExportValidationErrors="false" AutoFit="true" Append="false" PreserveSortAFLayout="true" PreserveFormat="true"/>
  <Map ID="13" Name="WDSStocksAndFlows_Map" RootElement="WDSStocksAndFlows" SchemaID="Schema5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1621213-F394-4EF1-BCEF-9D5E61126221}" name="Table3" displayName="Table3" ref="A5:C8" tableType="xml" totalsRowShown="0">
  <autoFilter ref="A5:C8" xr:uid="{21621213-F394-4EF1-BCEF-9D5E61126221}"/>
  <tableColumns count="3">
    <tableColumn id="1" xr3:uid="{567EF2A5-CFAC-47BB-9BFF-CA3E4BEAB274}" uniqueName="Name" name="Name">
      <xmlColumnPr mapId="13" xpath="/WDSStocksAndFlows/ParameterList/Parameter/@Name" xmlDataType="string"/>
    </tableColumn>
    <tableColumn id="2" xr3:uid="{4AA4398E-2CEF-4273-A0CF-0F9C3140A84E}" uniqueName="Type" name="Type">
      <xmlColumnPr mapId="13" xpath="/WDSStocksAndFlows/ParameterList/Parameter/@Type" xmlDataType="string"/>
    </tableColumn>
    <tableColumn id="3" xr3:uid="{77CF6B02-F1CE-4F26-B7A6-494D0900422D}" uniqueName="Value" name="Value">
      <xmlColumnPr mapId="13" xpath="/WDSStocksAndFlows/ParameterList/Parameter/Valu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87A5B18-CF47-409A-9621-A06E09419D53}" name="Table5" displayName="Table5" ref="F5:H6" tableType="xml" totalsRowShown="0">
  <autoFilter ref="F5:H6" xr:uid="{F87A5B18-CF47-409A-9621-A06E09419D53}"/>
  <tableColumns count="3">
    <tableColumn id="1" xr3:uid="{621A7CDB-15D4-421F-AA6F-E78083AAF7FF}" uniqueName="Name" name="Name">
      <xmlColumnPr mapId="13" xpath="/WDSStocksAndFlows/Units/ParameterList/Parameter/@Name" xmlDataType="string"/>
    </tableColumn>
    <tableColumn id="2" xr3:uid="{E6802509-FD04-4FEF-A050-811B8DD38321}" uniqueName="Type" name="Type">
      <xmlColumnPr mapId="13" xpath="/WDSStocksAndFlows/Units/ParameterList/Parameter/@Type" xmlDataType="string"/>
    </tableColumn>
    <tableColumn id="3" xr3:uid="{3AA0B4E4-3FD4-42FC-8EB2-BCFEAA5BB7C1}" uniqueName="Value" name="Value">
      <xmlColumnPr mapId="13" xpath="/WDSStocksAndFlows/Units/ParameterList/Parameter/Value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F405CA4-2B4D-4299-B270-30BB52B36648}" name="Table6" displayName="Table6" ref="J3:R4" tableType="xml" totalsRowShown="0">
  <autoFilter ref="J3:R4" xr:uid="{3F405CA4-2B4D-4299-B270-30BB52B36648}"/>
  <tableColumns count="9">
    <tableColumn id="1" xr3:uid="{1778CA3E-22EA-48AE-BF79-60CD79D24B18}" uniqueName="Position" name="Position">
      <xmlColumnPr mapId="13" xpath="/WDSStocksAndFlows/Units/Unit/@Position" xmlDataType="int"/>
    </tableColumn>
    <tableColumn id="2" xr3:uid="{359BFBC3-579F-4D68-8189-1855A48FA9C7}" uniqueName="Mneumonic" name="Mneumonic">
      <xmlColumnPr mapId="13" xpath="/WDSStocksAndFlows/Units/Unit/Mneumonic" xmlDataType="string"/>
    </tableColumn>
    <tableColumn id="3" xr3:uid="{E8F1EA2C-70DB-4EF7-89AE-EE7F0CAD9FE1}" uniqueName="Shorthand" name="Shorthand">
      <xmlColumnPr mapId="13" xpath="/WDSStocksAndFlows/Units/Unit/Shorthand" xmlDataType="string"/>
    </tableColumn>
    <tableColumn id="4" xr3:uid="{FE8AB5C0-BF6C-4B52-A528-F8781415A586}" uniqueName="Concept" name="Concept">
      <xmlColumnPr mapId="13" xpath="/WDSStocksAndFlows/Units/Unit/Concept" xmlDataType="string"/>
    </tableColumn>
    <tableColumn id="5" xr3:uid="{D0E3006E-30BE-4A87-A225-98E2F9426699}" uniqueName="ActualsVariable" name="ActualsVariable">
      <xmlColumnPr mapId="13" xpath="/WDSStocksAndFlows/Units/Unit/ActualsVariable" xmlDataType="string"/>
    </tableColumn>
    <tableColumn id="6" xr3:uid="{37D31FC2-C21A-4025-93C3-61E9572D276D}" uniqueName="Type" name="Type">
      <xmlColumnPr mapId="13" xpath="/WDSStocksAndFlows/Units/Unit/Type" xmlDataType="string"/>
    </tableColumn>
    <tableColumn id="7" xr3:uid="{C325F9EC-23DE-459B-B29B-EA6BE7ECA3A5}" uniqueName="ToSimInd" name="ToSimInd">
      <xmlColumnPr mapId="13" xpath="/WDSStocksAndFlows/Units/Unit/ToSimInd" xmlDataType="int"/>
    </tableColumn>
    <tableColumn id="8" xr3:uid="{DF8FB413-DC39-44D0-A87A-92BBCB795622}" uniqueName="SimCVStructural" name="SimCVStructural">
      <xmlColumnPr mapId="13" xpath="/WDSStocksAndFlows/Units/Unit/SimCVStructural" xmlDataType="double"/>
    </tableColumn>
    <tableColumn id="9" xr3:uid="{3A4C5DB2-8E5D-4358-BE74-68F49937D90A}" uniqueName="SimCVPerPeriod" name="SimCVPerPeriod">
      <xmlColumnPr mapId="13" xpath="/WDSStocksAndFlows/Units/Unit/SimCVPerPeriod" xmlDataType="double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7CC2A69-8B72-4ECE-A061-F0A214BCEDF3}" name="Table11" displayName="Table11" ref="F14:H15" tableType="xml" totalsRowShown="0">
  <autoFilter ref="F14:H15" xr:uid="{47CC2A69-8B72-4ECE-A061-F0A214BCEDF3}"/>
  <tableColumns count="3">
    <tableColumn id="1" xr3:uid="{1FD0621F-44DB-4715-A9D2-8E5CD631183B}" uniqueName="Name" name="Name">
      <xmlColumnPr mapId="13" xpath="/WDSStocksAndFlows/Stocks/ParameterList/Parameter/@Name" xmlDataType="string"/>
    </tableColumn>
    <tableColumn id="2" xr3:uid="{375CFE6B-BBE0-4A66-8C7A-62E372C51F8D}" uniqueName="Type" name="Type">
      <xmlColumnPr mapId="13" xpath="/WDSStocksAndFlows/Stocks/ParameterList/Parameter/@Type" xmlDataType="string"/>
    </tableColumn>
    <tableColumn id="3" xr3:uid="{DA72F354-80C7-49F7-9777-4E9BBB884381}" uniqueName="Value" name="Value">
      <xmlColumnPr mapId="13" xpath="/WDSStocksAndFlows/Stocks/ParameterList/Parameter/Valu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F018922-67D0-4FE3-A3C3-BA9DBD771464}" name="Table12" displayName="Table12" ref="J9:AT25" tableType="xml" totalsRowShown="0">
  <autoFilter ref="J9:AT25" xr:uid="{9F018922-67D0-4FE3-A3C3-BA9DBD771464}"/>
  <tableColumns count="37">
    <tableColumn id="1" xr3:uid="{10E60798-45E5-4049-8907-E0F89FAF7E8D}" uniqueName="Position" name="Position">
      <xmlColumnPr mapId="13" xpath="/WDSStocksAndFlows/Stocks/Stock/@Position" xmlDataType="int"/>
    </tableColumn>
    <tableColumn id="2" xr3:uid="{029E9C8D-A866-4188-9BE2-7642AF7DFCD3}" uniqueName="Mneumonic" name="Mneumonic">
      <xmlColumnPr mapId="13" xpath="/WDSStocksAndFlows/Stocks/Stock/Mneumonic" xmlDataType="string"/>
    </tableColumn>
    <tableColumn id="3" xr3:uid="{BBDBE118-AA8D-44D6-BDFB-9691C38C0A54}" uniqueName="Shorthand" name="Shorthand">
      <xmlColumnPr mapId="13" xpath="/WDSStocksAndFlows/Stocks/Stock/Shorthand" xmlDataType="string"/>
    </tableColumn>
    <tableColumn id="4" xr3:uid="{0A9C91B9-CC1C-450B-AF37-5121D4EB35F7}" uniqueName="Concept" name="Concept">
      <xmlColumnPr mapId="13" xpath="/WDSStocksAndFlows/Stocks/Stock/Concept" xmlDataType="string"/>
    </tableColumn>
    <tableColumn id="5" xr3:uid="{234D8BCB-B012-44DF-A085-FDC1BE2CCA5D}" uniqueName="ActualsVariable" name="ActualsVariable">
      <xmlColumnPr mapId="13" xpath="/WDSStocksAndFlows/Stocks/Stock/ActualsVariable" xmlDataType="string"/>
    </tableColumn>
    <tableColumn id="6" xr3:uid="{4A85614C-70E4-410D-B283-4B0BBE204EBA}" uniqueName="Type" name="Type">
      <xmlColumnPr mapId="13" xpath="/WDSStocksAndFlows/Stocks/Stock/Type" xmlDataType="string"/>
    </tableColumn>
    <tableColumn id="7" xr3:uid="{6F7D9646-D59B-4579-8B42-52F02A91039F}" uniqueName="LaterUse" name="LaterUse">
      <xmlColumnPr mapId="13" xpath="/WDSStocksAndFlows/Stocks/Stock/LaterUse" xmlDataType="string"/>
    </tableColumn>
    <tableColumn id="8" xr3:uid="{AABE267B-87DB-499E-9BD9-D6D44D9A1CB8}" uniqueName="Treatment" name="Treatment">
      <xmlColumnPr mapId="13" xpath="/WDSStocksAndFlows/Stocks/Stock/Treatment" xmlDataType="string"/>
    </tableColumn>
    <tableColumn id="9" xr3:uid="{1A0B8B44-603E-4376-ABBF-096E58F79043}" uniqueName="FOutput" name="FOutput">
      <xmlColumnPr mapId="13" xpath="/WDSStocksAndFlows/Stocks/Stock/FOutput" xmlDataType="int"/>
    </tableColumn>
    <tableColumn id="10" xr3:uid="{D4F6AAC4-8C91-4AEA-94FF-750A253DBBBC}" uniqueName="MOutput" name="MOutput">
      <xmlColumnPr mapId="13" xpath="/WDSStocksAndFlows/Stocks/Stock/MOutput" xmlDataType="int"/>
    </tableColumn>
    <tableColumn id="11" xr3:uid="{D4C29F71-4B50-4CBC-BE19-5FCFBA41226B}" uniqueName="ToSimInd" name="ToSimInd">
      <xmlColumnPr mapId="13" xpath="/WDSStocksAndFlows/Stocks/Stock/ToSimInd" xmlDataType="int"/>
    </tableColumn>
    <tableColumn id="12" xr3:uid="{8FEA5A98-B2FC-49F5-8282-21174D9B6E4A}" uniqueName="SimCV" name="SimCV">
      <xmlColumnPr mapId="13" xpath="/WDSStocksAndFlows/Stocks/Stock/SimCV" xmlDataType="double"/>
    </tableColumn>
    <tableColumn id="13" xr3:uid="{C4A40EB1-04B0-42DC-B9D2-C342F2EB0C38}" uniqueName="NumberOfBases" name="NumberOfBases">
      <xmlColumnPr mapId="13" xpath="/WDSStocksAndFlows/Stocks/Stock/NumberOfBases" xmlDataType="int"/>
    </tableColumn>
    <tableColumn id="14" xr3:uid="{A5635229-5DB9-45A4-889C-0E56CDC51873}" uniqueName="Base1Type" name="Base1Type">
      <xmlColumnPr mapId="13" xpath="/WDSStocksAndFlows/Stocks/Stock/Base1Type" xmlDataType="int"/>
    </tableColumn>
    <tableColumn id="15" xr3:uid="{73ACBDA4-8F68-4892-AE24-4FE348A20E5B}" uniqueName="Base1Variable" name="Base1Variable">
      <xmlColumnPr mapId="13" xpath="/WDSStocksAndFlows/Stocks/Stock/Base1Variable" xmlDataType="string"/>
    </tableColumn>
    <tableColumn id="16" xr3:uid="{E21C827D-B451-42B5-9F34-D450D49AB652}" uniqueName="Base1IndexOrCode" name="Base1IndexOrCode">
      <xmlColumnPr mapId="13" xpath="/WDSStocksAndFlows/Stocks/Stock/Base1IndexOrCode" xmlDataType="int"/>
    </tableColumn>
    <tableColumn id="17" xr3:uid="{FF1A1CB3-D590-4DC7-B14D-5C67A33188C2}" uniqueName="Base1Weighting" name="Base1Weighting">
      <xmlColumnPr mapId="13" xpath="/WDSStocksAndFlows/Stocks/Stock/Base1Weighting" xmlDataType="double"/>
    </tableColumn>
    <tableColumn id="18" xr3:uid="{3E9FAAD9-DC91-4347-8861-0C53F77731FC}" uniqueName="Base2Type" name="Base2Type">
      <xmlColumnPr mapId="13" xpath="/WDSStocksAndFlows/Stocks/Stock/Base2Type" xmlDataType="int"/>
    </tableColumn>
    <tableColumn id="19" xr3:uid="{B58B77DC-E2C3-4C32-ADC3-A9CBC30E0AE2}" uniqueName="Base2Variable" name="Base2Variable">
      <xmlColumnPr mapId="13" xpath="/WDSStocksAndFlows/Stocks/Stock/Base2Variable" xmlDataType="string"/>
    </tableColumn>
    <tableColumn id="20" xr3:uid="{C70602A0-14F3-475A-A731-9CC86C413218}" uniqueName="Base2IndexOrCode" name="Base2IndexOrCode">
      <xmlColumnPr mapId="13" xpath="/WDSStocksAndFlows/Stocks/Stock/Base2IndexOrCode" xmlDataType="int"/>
    </tableColumn>
    <tableColumn id="21" xr3:uid="{DDCB570C-9200-431A-81A4-F64CE8FF191C}" uniqueName="Base2Weighting" name="Base2Weighting">
      <xmlColumnPr mapId="13" xpath="/WDSStocksAndFlows/Stocks/Stock/Base2Weighting" xmlDataType="double"/>
    </tableColumn>
    <tableColumn id="22" xr3:uid="{292A5F51-3808-4D34-BB80-91CC426A133F}" uniqueName="Base3Type" name="Base3Type">
      <xmlColumnPr mapId="13" xpath="/WDSStocksAndFlows/Stocks/Stock/Base3Type" xmlDataType="int"/>
    </tableColumn>
    <tableColumn id="23" xr3:uid="{D3C53DE3-61ED-4F35-A110-94B5919AA859}" uniqueName="Base3Variable" name="Base3Variable">
      <xmlColumnPr mapId="13" xpath="/WDSStocksAndFlows/Stocks/Stock/Base3Variable" xmlDataType="string"/>
    </tableColumn>
    <tableColumn id="24" xr3:uid="{1B114575-F13D-4C36-B44A-62228D446AA4}" uniqueName="Base3IndexOrCode" name="Base3IndexOrCode">
      <xmlColumnPr mapId="13" xpath="/WDSStocksAndFlows/Stocks/Stock/Base3IndexOrCode" xmlDataType="int"/>
    </tableColumn>
    <tableColumn id="25" xr3:uid="{2C659168-8D27-4903-A039-79BBCE14B55C}" uniqueName="Base3Weighting" name="Base3Weighting">
      <xmlColumnPr mapId="13" xpath="/WDSStocksAndFlows/Stocks/Stock/Base3Weighting" xmlDataType="double"/>
    </tableColumn>
    <tableColumn id="26" xr3:uid="{BD5EBF99-936A-4B7F-96F9-DD94223F79BD}" uniqueName="Base4Type" name="Base4Type">
      <xmlColumnPr mapId="13" xpath="/WDSStocksAndFlows/Stocks/Stock/Base4Type" xmlDataType="int"/>
    </tableColumn>
    <tableColumn id="27" xr3:uid="{FBD3E728-05F3-4D99-81CC-8413B04284D2}" uniqueName="Base4Variable" name="Base4Variable">
      <xmlColumnPr mapId="13" xpath="/WDSStocksAndFlows/Stocks/Stock/Base4Variable" xmlDataType="string"/>
    </tableColumn>
    <tableColumn id="28" xr3:uid="{CD7B4B04-6EE9-4085-98A8-3E561335CA30}" uniqueName="Base4IndexOrCode" name="Base4IndexOrCode">
      <xmlColumnPr mapId="13" xpath="/WDSStocksAndFlows/Stocks/Stock/Base4IndexOrCode" xmlDataType="int"/>
    </tableColumn>
    <tableColumn id="29" xr3:uid="{17A969DF-A6E9-4392-9D91-97E13639A9F8}" uniqueName="Base4Weighting" name="Base4Weighting">
      <xmlColumnPr mapId="13" xpath="/WDSStocksAndFlows/Stocks/Stock/Base4Weighting" xmlDataType="double"/>
    </tableColumn>
    <tableColumn id="30" xr3:uid="{915ADEF3-1B49-4374-8414-E9071989805C}" uniqueName="Base5Type" name="Base5Type">
      <xmlColumnPr mapId="13" xpath="/WDSStocksAndFlows/Stocks/Stock/Base5Type" xmlDataType="int"/>
    </tableColumn>
    <tableColumn id="31" xr3:uid="{FE90257A-1EBA-43CD-B70F-E577CA740C18}" uniqueName="Base5Variable" name="Base5Variable">
      <xmlColumnPr mapId="13" xpath="/WDSStocksAndFlows/Stocks/Stock/Base5Variable" xmlDataType="string"/>
    </tableColumn>
    <tableColumn id="32" xr3:uid="{D4488F6B-0449-44FE-8BB1-44C8B2B3E424}" uniqueName="Base5IndexOrCode" name="Base5IndexOrCode">
      <xmlColumnPr mapId="13" xpath="/WDSStocksAndFlows/Stocks/Stock/Base5IndexOrCode" xmlDataType="int"/>
    </tableColumn>
    <tableColumn id="33" xr3:uid="{32FEAF51-0597-4538-B471-2A1E5DA718A4}" uniqueName="Base5Weighting" name="Base5Weighting">
      <xmlColumnPr mapId="13" xpath="/WDSStocksAndFlows/Stocks/Stock/Base5Weighting" xmlDataType="double"/>
    </tableColumn>
    <tableColumn id="34" xr3:uid="{A89480D8-F009-45A3-810E-637FBB4A3FD5}" uniqueName="Base6Type" name="Base6Type">
      <xmlColumnPr mapId="13" xpath="/WDSStocksAndFlows/Stocks/Stock/Base6Type" xmlDataType="int"/>
    </tableColumn>
    <tableColumn id="35" xr3:uid="{8B18788E-CB3F-4619-8B12-56FD2F55AB05}" uniqueName="Base6Variable" name="Base6Variable">
      <xmlColumnPr mapId="13" xpath="/WDSStocksAndFlows/Stocks/Stock/Base6Variable" xmlDataType="string"/>
    </tableColumn>
    <tableColumn id="36" xr3:uid="{E63735DB-EDD9-4D17-BC49-6F27C4292AD5}" uniqueName="Base6IndexOrCode" name="Base6IndexOrCode">
      <xmlColumnPr mapId="13" xpath="/WDSStocksAndFlows/Stocks/Stock/Base6IndexOrCode" xmlDataType="int"/>
    </tableColumn>
    <tableColumn id="37" xr3:uid="{AF1CA3FB-BA96-4AAB-8047-08D9CEA0094E}" uniqueName="Base6Weighting" name="Base6Weighting">
      <xmlColumnPr mapId="13" xpath="/WDSStocksAndFlows/Stocks/Stock/Base6Weighting" xmlDataType="double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8EF1D9F-4F5E-4C45-8988-7DB2C428DE83}" name="Table17" displayName="Table17" ref="F33:H34" tableType="xml" totalsRowShown="0">
  <autoFilter ref="F33:H34" xr:uid="{68EF1D9F-4F5E-4C45-8988-7DB2C428DE83}"/>
  <tableColumns count="3">
    <tableColumn id="1" xr3:uid="{A72BDAF6-A8C1-4CC5-A7A3-629E0828F8F5}" uniqueName="Name" name="Name">
      <xmlColumnPr mapId="13" xpath="/WDSStocksAndFlows/Flows/ParameterList/Parameter/@Name" xmlDataType="string"/>
    </tableColumn>
    <tableColumn id="2" xr3:uid="{75BDD357-0920-4AD2-886E-AB8431209C15}" uniqueName="Type" name="Type">
      <xmlColumnPr mapId="13" xpath="/WDSStocksAndFlows/Flows/ParameterList/Parameter/@Type" xmlDataType="string"/>
    </tableColumn>
    <tableColumn id="3" xr3:uid="{38C78719-9918-46DA-B891-2FFB1AF26C3F}" uniqueName="Value" name="Value">
      <xmlColumnPr mapId="13" xpath="/WDSStocksAndFlows/Flows/ParameterList/Parameter/Value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824EF72-8AC7-4A1F-BB65-0EDDBF9768CC}" name="Table18" displayName="Table18" ref="J28:AS52" tableType="xml" totalsRowShown="0">
  <autoFilter ref="J28:AS52" xr:uid="{8824EF72-8AC7-4A1F-BB65-0EDDBF9768CC}"/>
  <tableColumns count="36">
    <tableColumn id="1" xr3:uid="{17B45A83-780A-4BFC-A1F8-4F0FB471498E}" uniqueName="Position" name="Position">
      <xmlColumnPr mapId="13" xpath="/WDSStocksAndFlows/Flows/Flow/@Position" xmlDataType="int"/>
    </tableColumn>
    <tableColumn id="2" xr3:uid="{D42370BC-3189-438F-AE99-EFAB72186158}" uniqueName="Mneumonic" name="Mneumonic">
      <xmlColumnPr mapId="13" xpath="/WDSStocksAndFlows/Flows/Flow/Mneumonic" xmlDataType="string"/>
    </tableColumn>
    <tableColumn id="3" xr3:uid="{4B916F9A-4370-40D8-95F8-743A6521FCA7}" uniqueName="Shorthand" name="Shorthand">
      <xmlColumnPr mapId="13" xpath="/WDSStocksAndFlows/Flows/Flow/Shorthand" xmlDataType="string"/>
    </tableColumn>
    <tableColumn id="4" xr3:uid="{0E3A0F31-49CB-4C97-8F02-44BD33A03F44}" uniqueName="Concept" name="Concept">
      <xmlColumnPr mapId="13" xpath="/WDSStocksAndFlows/Flows/Flow/Concept" xmlDataType="string"/>
    </tableColumn>
    <tableColumn id="5" xr3:uid="{BF28E523-AB4E-4153-B4BE-A84942BFBF65}" uniqueName="PrePost" name="PrePost">
      <xmlColumnPr mapId="13" xpath="/WDSStocksAndFlows/Flows/Flow/PrePost" xmlDataType="string"/>
    </tableColumn>
    <tableColumn id="6" xr3:uid="{65365A4A-980D-4183-9A81-823F4F69C0FD}" uniqueName="AorS" name="AorS">
      <xmlColumnPr mapId="13" xpath="/WDSStocksAndFlows/Flows/Flow/AorS" xmlDataType="string"/>
    </tableColumn>
    <tableColumn id="7" xr3:uid="{7E89A62E-139E-46CF-B3DC-A878A8FA6256}" uniqueName="RollWeighting" name="RollWeighting">
      <xmlColumnPr mapId="13" xpath="/WDSStocksAndFlows/Flows/Flow/RollWeighting" xmlDataType="string"/>
    </tableColumn>
    <tableColumn id="8" xr3:uid="{1E1F8F66-57E7-42B5-85F6-7E66BA76943C}" uniqueName="ActualsVariable" name="ActualsVariable">
      <xmlColumnPr mapId="13" xpath="/WDSStocksAndFlows/Flows/Flow/ActualsVariable" xmlDataType="string"/>
    </tableColumn>
    <tableColumn id="9" xr3:uid="{A1BAF2F4-7D18-4857-A9EA-30F8AEB2BE9C}" uniqueName="NumberOfFlowMatrices" name="NumberOfFlowMatrices">
      <xmlColumnPr mapId="13" xpath="/WDSStocksAndFlows/Flows/Flow/NumberOfFlowMatrices" xmlDataType="int"/>
    </tableColumn>
    <tableColumn id="10" xr3:uid="{48F90EDD-590E-49F5-8B8B-0428A65AE4A4}" uniqueName="ToSimInd" name="ToSimInd">
      <xmlColumnPr mapId="13" xpath="/WDSStocksAndFlows/Flows/Flow/ToSimInd" xmlDataType="int"/>
    </tableColumn>
    <tableColumn id="11" xr3:uid="{B16C13CC-E6FB-4489-B7F0-D08163A12C77}" uniqueName="SimCV" name="SimCV">
      <xmlColumnPr mapId="13" xpath="/WDSStocksAndFlows/Flows/Flow/SimCV" xmlDataType="double"/>
    </tableColumn>
    <tableColumn id="12" xr3:uid="{CFEBBA4E-0FAE-4D8F-8588-696D73786E4F}" uniqueName="NumberOfBases" name="NumberOfBases">
      <xmlColumnPr mapId="13" xpath="/WDSStocksAndFlows/Flows/Flow/NumberOfBases" xmlDataType="int"/>
    </tableColumn>
    <tableColumn id="13" xr3:uid="{FBC70FAF-344F-4B96-B916-08AC8266DB39}" uniqueName="Base1Type" name="Base1Type">
      <xmlColumnPr mapId="13" xpath="/WDSStocksAndFlows/Flows/Flow/Base1Type" xmlDataType="int"/>
    </tableColumn>
    <tableColumn id="14" xr3:uid="{6D73EDD7-6FDE-43FA-82D5-70CE26B9EA97}" uniqueName="Base1Variable" name="Base1Variable">
      <xmlColumnPr mapId="13" xpath="/WDSStocksAndFlows/Flows/Flow/Base1Variable" xmlDataType="string"/>
    </tableColumn>
    <tableColumn id="15" xr3:uid="{C45441F7-12BE-46F8-92F5-91D273259871}" uniqueName="Base1IndexOrCode" name="Base1IndexOrCode">
      <xmlColumnPr mapId="13" xpath="/WDSStocksAndFlows/Flows/Flow/Base1IndexOrCode" xmlDataType="int"/>
    </tableColumn>
    <tableColumn id="16" xr3:uid="{2E090493-F9C6-41AC-95B5-28AE758C7479}" uniqueName="Base1Weighting" name="Base1Weighting">
      <xmlColumnPr mapId="13" xpath="/WDSStocksAndFlows/Flows/Flow/Base1Weighting" xmlDataType="double"/>
    </tableColumn>
    <tableColumn id="17" xr3:uid="{E317D1D5-A896-48D6-BDA3-094C88319FA2}" uniqueName="Base2Type" name="Base2Type">
      <xmlColumnPr mapId="13" xpath="/WDSStocksAndFlows/Flows/Flow/Base2Type" xmlDataType="int"/>
    </tableColumn>
    <tableColumn id="18" xr3:uid="{80372526-0846-46FC-8789-51D84EB05100}" uniqueName="Base2Variable" name="Base2Variable">
      <xmlColumnPr mapId="13" xpath="/WDSStocksAndFlows/Flows/Flow/Base2Variable" xmlDataType="string"/>
    </tableColumn>
    <tableColumn id="19" xr3:uid="{8D234EB0-A819-401B-9972-C1600F0D05E3}" uniqueName="Base2IndexOrCode" name="Base2IndexOrCode">
      <xmlColumnPr mapId="13" xpath="/WDSStocksAndFlows/Flows/Flow/Base2IndexOrCode" xmlDataType="int"/>
    </tableColumn>
    <tableColumn id="20" xr3:uid="{447C7F49-A87D-45C8-832C-419A42A6BEC1}" uniqueName="Base2Weighting" name="Base2Weighting">
      <xmlColumnPr mapId="13" xpath="/WDSStocksAndFlows/Flows/Flow/Base2Weighting" xmlDataType="double"/>
    </tableColumn>
    <tableColumn id="21" xr3:uid="{C94C9EF8-5D57-4593-AC64-654304135C78}" uniqueName="Base3Type" name="Base3Type">
      <xmlColumnPr mapId="13" xpath="/WDSStocksAndFlows/Flows/Flow/Base3Type" xmlDataType="int"/>
    </tableColumn>
    <tableColumn id="22" xr3:uid="{CAC8A00E-8CF1-48CA-A23F-6CDB6270174A}" uniqueName="Base3Variable" name="Base3Variable">
      <xmlColumnPr mapId="13" xpath="/WDSStocksAndFlows/Flows/Flow/Base3Variable" xmlDataType="string"/>
    </tableColumn>
    <tableColumn id="23" xr3:uid="{0FA8BA7B-97B8-45E9-AE2E-90EBFBCF1F81}" uniqueName="Base3IndexOrCode" name="Base3IndexOrCode">
      <xmlColumnPr mapId="13" xpath="/WDSStocksAndFlows/Flows/Flow/Base3IndexOrCode" xmlDataType="int"/>
    </tableColumn>
    <tableColumn id="24" xr3:uid="{B0BD95C3-71BC-490A-9574-E38389D41A6B}" uniqueName="Base3Weighting" name="Base3Weighting">
      <xmlColumnPr mapId="13" xpath="/WDSStocksAndFlows/Flows/Flow/Base3Weighting" xmlDataType="double"/>
    </tableColumn>
    <tableColumn id="25" xr3:uid="{C7B40DD6-E7B5-4EF0-9215-A3E68F82DC41}" uniqueName="Base4Type" name="Base4Type">
      <xmlColumnPr mapId="13" xpath="/WDSStocksAndFlows/Flows/Flow/Base4Type" xmlDataType="int"/>
    </tableColumn>
    <tableColumn id="26" xr3:uid="{A02836E9-101A-4307-BF1F-6C5ACB951C46}" uniqueName="Base4Variable" name="Base4Variable">
      <xmlColumnPr mapId="13" xpath="/WDSStocksAndFlows/Flows/Flow/Base4Variable" xmlDataType="string"/>
    </tableColumn>
    <tableColumn id="27" xr3:uid="{F41BEDB5-DC31-4D93-AB7A-27103F15C184}" uniqueName="Base4IndexOrCode" name="Base4IndexOrCode">
      <xmlColumnPr mapId="13" xpath="/WDSStocksAndFlows/Flows/Flow/Base4IndexOrCode" xmlDataType="int"/>
    </tableColumn>
    <tableColumn id="28" xr3:uid="{C92A19E2-DBF6-446C-84BF-03891E612E6E}" uniqueName="Base4Weighting" name="Base4Weighting">
      <xmlColumnPr mapId="13" xpath="/WDSStocksAndFlows/Flows/Flow/Base4Weighting" xmlDataType="double"/>
    </tableColumn>
    <tableColumn id="29" xr3:uid="{1EE4610D-C181-43C3-84F5-3D543C8030AD}" uniqueName="Base5Type" name="Base5Type">
      <xmlColumnPr mapId="13" xpath="/WDSStocksAndFlows/Flows/Flow/Base5Type" xmlDataType="int"/>
    </tableColumn>
    <tableColumn id="30" xr3:uid="{B06371AA-1289-43FA-A473-EB6B3B1F7CA7}" uniqueName="Base5Variable" name="Base5Variable">
      <xmlColumnPr mapId="13" xpath="/WDSStocksAndFlows/Flows/Flow/Base5Variable" xmlDataType="string"/>
    </tableColumn>
    <tableColumn id="31" xr3:uid="{C9243C8C-066B-4C1F-9A33-BF7AFB00B8F2}" uniqueName="Base5IndexOrCode" name="Base5IndexOrCode">
      <xmlColumnPr mapId="13" xpath="/WDSStocksAndFlows/Flows/Flow/Base5IndexOrCode" xmlDataType="int"/>
    </tableColumn>
    <tableColumn id="32" xr3:uid="{58CCCE1B-2BDC-4B7B-BEAB-AB3E3C5166FD}" uniqueName="Base5Weighting" name="Base5Weighting">
      <xmlColumnPr mapId="13" xpath="/WDSStocksAndFlows/Flows/Flow/Base5Weighting" xmlDataType="double"/>
    </tableColumn>
    <tableColumn id="33" xr3:uid="{08A9C100-64ED-4037-9922-8B5F3F4FAA42}" uniqueName="Base6Type" name="Base6Type">
      <xmlColumnPr mapId="13" xpath="/WDSStocksAndFlows/Flows/Flow/Base6Type" xmlDataType="int"/>
    </tableColumn>
    <tableColumn id="34" xr3:uid="{BD45C77D-0355-493F-8BD7-1C70E71820A8}" uniqueName="Base6Variable" name="Base6Variable">
      <xmlColumnPr mapId="13" xpath="/WDSStocksAndFlows/Flows/Flow/Base6Variable" xmlDataType="string"/>
    </tableColumn>
    <tableColumn id="35" xr3:uid="{1E7AA2D1-ACB5-45F9-9A79-C58B9D14D513}" uniqueName="Base6IndexOrCode" name="Base6IndexOrCode">
      <xmlColumnPr mapId="13" xpath="/WDSStocksAndFlows/Flows/Flow/Base6IndexOrCode" xmlDataType="int"/>
    </tableColumn>
    <tableColumn id="36" xr3:uid="{6132B2CC-366A-4A15-A98A-884560045962}" uniqueName="Base6Weighting" name="Base6Weighting">
      <xmlColumnPr mapId="13" xpath="/WDSStocksAndFlows/Flows/Flow/Base6Weighting" xmlDataType="double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A433B94-E950-44F8-A353-9CD219B1D608}" name="Table20" displayName="Table20" ref="A12:D53" tableType="xml" totalsRowShown="0">
  <autoFilter ref="A12:D53" xr:uid="{CA433B94-E950-44F8-A353-9CD219B1D608}"/>
  <tableColumns count="4">
    <tableColumn id="1" xr3:uid="{C0D243AA-D35B-4848-9ABD-01F36E6E0B39}" uniqueName="Position" name="Position">
      <xmlColumnPr mapId="13" xpath="/WDSStocksAndFlows/Orders/Order/@Position" xmlDataType="int"/>
    </tableColumn>
    <tableColumn id="2" xr3:uid="{96733DC4-9C3F-4B26-97EA-57F15F068625}" uniqueName="Mneumonic" name="Mneumonic">
      <xmlColumnPr mapId="13" xpath="/WDSStocksAndFlows/Orders/Order/Mneumonic" xmlDataType="string"/>
    </tableColumn>
    <tableColumn id="3" xr3:uid="{70FE1097-A1E5-44E3-90A1-4AB1C2040EB9}" uniqueName="USF" name="USF">
      <xmlColumnPr mapId="13" xpath="/WDSStocksAndFlows/Orders/Order/USF" xmlDataType="int"/>
    </tableColumn>
    <tableColumn id="4" xr3:uid="{0834F71D-E84F-4406-8022-4CED9ABA5BC6}" uniqueName="IndexOrCode" name="IndexOrCode">
      <xmlColumnPr mapId="13" xpath="/WDSStocksAndFlows/Orders/Order/IndexOrCode" xmlDataType="int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9F1D501-C9C4-4350-A884-31C4A885ED5F}" name="Table23" displayName="Table23" ref="A5:C8" tableType="xml" totalsRowShown="0">
  <autoFilter ref="A5:C8" xr:uid="{69F1D501-C9C4-4350-A884-31C4A885ED5F}"/>
  <tableColumns count="3">
    <tableColumn id="1" xr3:uid="{902751DB-9865-4400-BD9B-550F22797914}" uniqueName="Name" name="Name">
      <xmlColumnPr mapId="12" xpath="/WDSStateSpace/ParameterList/Parameter/@Name" xmlDataType="string"/>
    </tableColumn>
    <tableColumn id="2" xr3:uid="{EE9A4B8C-1478-4149-895F-357E0036A17C}" uniqueName="Type" name="Type">
      <xmlColumnPr mapId="12" xpath="/WDSStateSpace/ParameterList/Parameter/@Type" xmlDataType="string"/>
    </tableColumn>
    <tableColumn id="3" xr3:uid="{53BE736D-009F-49D7-B07C-743F35D1C255}" uniqueName="Value" name="Value">
      <xmlColumnPr mapId="12" xpath="/WDSStateSpace/ParameterList/Parameter/Value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617DE0D-4988-4919-9623-04428F7C0C52}" name="Table32" displayName="Table32" ref="A37:C40" tableType="xml" totalsRowShown="0">
  <autoFilter ref="A37:C40" xr:uid="{A617DE0D-4988-4919-9623-04428F7C0C52}"/>
  <tableColumns count="3">
    <tableColumn id="1" xr3:uid="{3B70077D-E7DA-4E38-83A4-647361E6A863}" uniqueName="Name" name="Name">
      <xmlColumnPr mapId="12" xpath="/WDSStateSpace/States/ParameterList/Parameter/@Name" xmlDataType="string"/>
    </tableColumn>
    <tableColumn id="2" xr3:uid="{F9CAED34-C6E8-4AC5-AD65-2F60CAE96C53}" uniqueName="Type" name="Type">
      <xmlColumnPr mapId="12" xpath="/WDSStateSpace/States/ParameterList/Parameter/@Type" xmlDataType="string"/>
    </tableColumn>
    <tableColumn id="3" xr3:uid="{B2EB645F-A22C-4226-B69A-4D55C830BEA8}" uniqueName="Value" name="Value">
      <xmlColumnPr mapId="12" xpath="/WDSStateSpace/States/ParameterList/Parameter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9FB6036F-46A1-4AAD-8288-992020C5D5B8}" name="Table33" displayName="Table33" ref="A44:G58" tableType="xml" totalsRowShown="0">
  <autoFilter ref="A44:G58" xr:uid="{9FB6036F-46A1-4AAD-8288-992020C5D5B8}"/>
  <tableColumns count="7">
    <tableColumn id="1" xr3:uid="{F86E592D-4791-4E3E-929D-8D49D91CADF0}" uniqueName="Position" name="Position">
      <xmlColumnPr mapId="12" xpath="/WDSStateSpace/States/State/@Position" xmlDataType="int"/>
    </tableColumn>
    <tableColumn id="2" xr3:uid="{858C08AF-4B99-4750-A64F-4300D87FD603}" uniqueName="Mneumonic" name="Mneumonic">
      <xmlColumnPr mapId="12" xpath="/WDSStateSpace/States/State/Mneumonic" xmlDataType="string"/>
    </tableColumn>
    <tableColumn id="3" xr3:uid="{5DED64DA-5A91-4593-A3E3-21E95BA5BCEE}" uniqueName="Shorthand" name="Shorthand">
      <xmlColumnPr mapId="12" xpath="/WDSStateSpace/States/State/Shorthand" xmlDataType="string"/>
    </tableColumn>
    <tableColumn id="4" xr3:uid="{0F6144ED-528E-4758-956C-AEAB7F83FB2E}" uniqueName="Concept" name="Concept">
      <xmlColumnPr mapId="12" xpath="/WDSStateSpace/States/State/Concept" xmlDataType="string"/>
    </tableColumn>
    <tableColumn id="5" xr3:uid="{BE416723-B5D1-4D2E-8182-D4A61830D848}" uniqueName="NullInd" name="NullInd">
      <xmlColumnPr mapId="12" xpath="/WDSStateSpace/States/State/NullInd" xmlDataType="string"/>
    </tableColumn>
    <tableColumn id="6" xr3:uid="{C130EFC8-872C-490D-AFED-460873D0DC22}" uniqueName="Type" name="Type">
      <xmlColumnPr mapId="12" xpath="/WDSStateSpace/States/State/Type" xmlDataType="string"/>
    </tableColumn>
    <tableColumn id="7" xr3:uid="{7288C397-4663-449E-9202-5AFCE0DD9530}" uniqueName="NotionalDelq" name="NotionalDelq">
      <xmlColumnPr mapId="12" xpath="/WDSStateSpace/States/State/NotionalDelq" xmlDataType="int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BBB92BBF-D19D-47A1-9CFC-5A0BCDF52D35}" name="Table36" displayName="Table36" ref="A15:C16" tableType="xml" totalsRowShown="0">
  <autoFilter ref="A15:C16" xr:uid="{BBB92BBF-D19D-47A1-9CFC-5A0BCDF52D35}"/>
  <tableColumns count="3">
    <tableColumn id="1" xr3:uid="{27A6D088-EDF5-4835-BAFA-16C25E154E1B}" uniqueName="Name" name="Name">
      <xmlColumnPr mapId="12" xpath="/WDSStateSpace/Stages/ParameterList/Parameter/@Name" xmlDataType="string"/>
    </tableColumn>
    <tableColumn id="2" xr3:uid="{F13749EE-F904-4922-A73A-59A4651F212E}" uniqueName="Type" name="Type">
      <xmlColumnPr mapId="12" xpath="/WDSStateSpace/Stages/ParameterList/Parameter/@Type" xmlDataType="string"/>
    </tableColumn>
    <tableColumn id="3" xr3:uid="{741E4872-1EA5-43C0-832C-11038E7E252C}" uniqueName="Value" name="Value">
      <xmlColumnPr mapId="12" xpath="/WDSStateSpace/Stages/ParameterList/Parameter/Value" xmlDataType="string"/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4F2E2D8D-7293-45A9-B3C3-981E53532299}" name="Table37" displayName="Table37" ref="A19:F22" tableType="xml" totalsRowShown="0">
  <autoFilter ref="A19:F22" xr:uid="{4F2E2D8D-7293-45A9-B3C3-981E53532299}"/>
  <tableColumns count="6">
    <tableColumn id="1" xr3:uid="{A8AD5B19-C3EF-488F-B074-3D6D20B8A70C}" uniqueName="Position" name="Position">
      <xmlColumnPr mapId="12" xpath="/WDSStateSpace/Stages/Stage/@Position" xmlDataType="int"/>
    </tableColumn>
    <tableColumn id="2" xr3:uid="{13229A44-DD8D-4295-9D37-BA3C3CA41C4F}" uniqueName="Mneumonic" name="Mneumonic">
      <xmlColumnPr mapId="12" xpath="/WDSStateSpace/Stages/Stage/Mneumonic" xmlDataType="string"/>
    </tableColumn>
    <tableColumn id="3" xr3:uid="{DEF59CD3-C5FB-412E-A18C-82D743E1EA6B}" uniqueName="Shorthand" name="Shorthand">
      <xmlColumnPr mapId="12" xpath="/WDSStateSpace/Stages/Stage/Shorthand" xmlDataType="string"/>
    </tableColumn>
    <tableColumn id="4" xr3:uid="{2DD36F1D-01A5-4AC2-A864-7DA2EB86A42A}" uniqueName="Concept" name="Concept">
      <xmlColumnPr mapId="12" xpath="/WDSStateSpace/Stages/Stage/Concept" xmlDataType="string"/>
    </tableColumn>
    <tableColumn id="5" xr3:uid="{6023BB0A-494A-4C05-A834-0B84F87B49A5}" uniqueName="Type" name="Type">
      <xmlColumnPr mapId="12" xpath="/WDSStateSpace/Stages/Stage/Type" xmlDataType="string"/>
    </tableColumn>
    <tableColumn id="6" xr3:uid="{49BCEE6D-6E84-4D65-B9D9-DA13EF024932}" uniqueName="ModelHandle" name="ModelHandle">
      <xmlColumnPr mapId="12" xpath="/WDSStateSpace/Stages/Stage/ModelHandle" xmlDataType="string"/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87572F7E-8401-4A4D-A49D-CCEE91D8DE30}" name="Table40" displayName="Table40" ref="K5:M6" tableType="xml" totalsRowShown="0">
  <autoFilter ref="K5:M6" xr:uid="{87572F7E-8401-4A4D-A49D-CCEE91D8DE30}"/>
  <tableColumns count="3">
    <tableColumn id="1" xr3:uid="{1F167712-FA70-4C18-8179-523780C4B9A3}" uniqueName="Name" name="Name">
      <xmlColumnPr mapId="12" xpath="/WDSStateSpace/Bridges/ParameterList/Parameter/@Name" xmlDataType="string"/>
    </tableColumn>
    <tableColumn id="2" xr3:uid="{A73803DB-7F51-4913-912D-AE16EB9A1833}" uniqueName="Type" name="Type">
      <xmlColumnPr mapId="12" xpath="/WDSStateSpace/Bridges/ParameterList/Parameter/@Type" xmlDataType="string"/>
    </tableColumn>
    <tableColumn id="3" xr3:uid="{B8A82556-0E9A-4D2C-B3DA-1DA8E3404F4B}" uniqueName="Value" name="Value">
      <xmlColumnPr mapId="12" xpath="/WDSStateSpace/Bridges/ParameterList/Parameter/Value" xmlDataType="string"/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247C601-3F1F-461B-8A71-BC789E3A3EB4}" name="Table69" displayName="Table69" ref="K13:O17" tableType="xml" totalsRowShown="0" headerRowDxfId="2" tableBorderDxfId="3">
  <autoFilter ref="K13:O17" xr:uid="{0247C601-3F1F-461B-8A71-BC789E3A3EB4}"/>
  <tableColumns count="5">
    <tableColumn id="1" xr3:uid="{2CF44B25-DEF3-4B77-A7FA-D552BB062D67}" uniqueName="Position" name="Position">
      <xmlColumnPr mapId="12" xpath="/WDSStateSpace/Bridges/Bridge/@Position" xmlDataType="int"/>
    </tableColumn>
    <tableColumn id="2" xr3:uid="{52F03019-BB95-49C6-BE91-3A0FE6372751}" uniqueName="StatePosition" name="StatePosition">
      <xmlColumnPr mapId="12" xpath="/WDSStateSpace/Bridges/Bridge/StatePosition" xmlDataType="int"/>
    </tableColumn>
    <tableColumn id="3" xr3:uid="{7847E79D-F916-44F9-9F39-017FB79F9A68}" uniqueName="From" name="From">
      <xmlColumnPr mapId="12" xpath="/WDSStateSpace/Bridges/Bridge/From" xmlDataType="int"/>
    </tableColumn>
    <tableColumn id="4" xr3:uid="{81E57FAE-243F-4B4D-B393-998E3365C79F}" uniqueName="To" name="To">
      <xmlColumnPr mapId="12" xpath="/WDSStateSpace/Bridges/Bridge/To" xmlDataType="int"/>
    </tableColumn>
    <tableColumn id="5" xr3:uid="{FDC0F7B1-CBB1-46EA-82A8-05C3701037D5}" uniqueName="Type" name="Type">
      <xmlColumnPr mapId="12" xpath="/WDSStateSpace/Bridges/Bridge/Type" xmlDataType="string"/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60B74945-7104-4FE6-9C7F-EF6C61E7F94E}" name="Table108" displayName="Table108" ref="A11:B25" tableType="xml" totalsRowShown="0">
  <autoFilter ref="A11:B25" xr:uid="{60B74945-7104-4FE6-9C7F-EF6C61E7F94E}"/>
  <tableColumns count="2">
    <tableColumn id="1" xr3:uid="{F6257257-66E9-40D8-8045-EF1A641573C3}" uniqueName="StateLabel" name="StateLabel" dataDxfId="1">
      <calculatedColumnFormula>StatesAndStagesSpec!B45</calculatedColumnFormula>
      <xmlColumnPr mapId="11" xpath="/WDSMatrix/StateLabels/StateLabel" xmlDataType="string"/>
    </tableColumn>
    <tableColumn id="2" xr3:uid="{D24EF05F-14C1-48E9-B069-EC3DC74FE01E}" uniqueName="Position" name="Position" dataDxfId="0">
      <calculatedColumnFormula>StatesAndStagesSpec!A45</calculatedColumnFormula>
      <xmlColumnPr mapId="11" xpath="/WDSMatrix/StateLabels/StateLabel/@Position" xmlDataType="int"/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216783C4-A50B-4B0D-A513-DA1C0087C776}" name="Table109" displayName="Table109" ref="G11:Y25" tableType="xml" insertRowShift="1" totalsRowShown="0">
  <autoFilter ref="G11:Y25" xr:uid="{216783C4-A50B-4B0D-A513-DA1C0087C776}"/>
  <tableColumns count="19">
    <tableColumn id="5" xr3:uid="{FE8B5D85-1B8F-4029-A1C5-8D2B211DE63D}" uniqueName="Axis4" name="Axis4">
      <xmlColumnPr mapId="11" xpath="/WDSMatrix/MData/@Axis4" xmlDataType="int"/>
    </tableColumn>
    <tableColumn id="4" xr3:uid="{02698C25-FB8A-4F25-9AD3-C957B502577E}" uniqueName="Axis3" name="Axis3">
      <xmlColumnPr mapId="11" xpath="/WDSMatrix/MData/@Axis3" xmlDataType="int"/>
    </tableColumn>
    <tableColumn id="3" xr3:uid="{56E09279-A020-43BD-9B55-6F58BE32A712}" uniqueName="Axis2" name="Axis2">
      <xmlColumnPr mapId="11" xpath="/WDSMatrix/MData/@Axis2" xmlDataType="int"/>
    </tableColumn>
    <tableColumn id="2" xr3:uid="{9A8ACE33-AB64-4E21-ADDD-8D5D09BF8FD0}" uniqueName="Axis1" name="Axis1">
      <xmlColumnPr mapId="11" xpath="/WDSMatrix/MData/@Axis1" xmlDataType="int"/>
    </tableColumn>
    <tableColumn id="1" xr3:uid="{F20A7E33-3B7B-4486-815C-F08601324F9B}" uniqueName="Row" name="Row">
      <calculatedColumnFormula>Table108[[#This Row],[Position]]</calculatedColumnFormula>
      <xmlColumnPr mapId="11" xpath="/WDSMatrix/MData/@Row" xmlDataType="int"/>
    </tableColumn>
    <tableColumn id="6" xr3:uid="{801F0C1E-BA1F-46C1-A255-52B3ED1144DC}" uniqueName="Col1" name="Col1">
      <xmlColumnPr mapId="11" xpath="/WDSMatrix/MData/Col1" xmlDataType="double"/>
    </tableColumn>
    <tableColumn id="7" xr3:uid="{01283B1D-2735-4B24-9EFA-A537AB510829}" uniqueName="Col2" name="Col2">
      <xmlColumnPr mapId="11" xpath="/WDSMatrix/MData/Col2" xmlDataType="double"/>
    </tableColumn>
    <tableColumn id="8" xr3:uid="{7C98C837-AE80-480D-B25E-370A00EFF581}" uniqueName="Col3" name="Col3">
      <xmlColumnPr mapId="11" xpath="/WDSMatrix/MData/Col3" xmlDataType="double"/>
    </tableColumn>
    <tableColumn id="9" xr3:uid="{9404000E-2024-4C7E-A82D-DA0E8C8DC763}" uniqueName="Col4" name="Col4">
      <xmlColumnPr mapId="11" xpath="/WDSMatrix/MData/Col4" xmlDataType="double"/>
    </tableColumn>
    <tableColumn id="10" xr3:uid="{0266BE6F-28D2-436E-A782-4ED3E1858B59}" uniqueName="Col5" name="Col5">
      <xmlColumnPr mapId="11" xpath="/WDSMatrix/MData/Col5" xmlDataType="double"/>
    </tableColumn>
    <tableColumn id="11" xr3:uid="{66F810CF-B5BA-47F7-9757-AAA8E46CA3FA}" uniqueName="Col6" name="Col6">
      <xmlColumnPr mapId="11" xpath="/WDSMatrix/MData/Col6" xmlDataType="double"/>
    </tableColumn>
    <tableColumn id="12" xr3:uid="{AC2C52E6-6DF8-4ECA-BC49-9A505B14A09B}" uniqueName="Col7" name="Col7">
      <xmlColumnPr mapId="11" xpath="/WDSMatrix/MData/Col7" xmlDataType="double"/>
    </tableColumn>
    <tableColumn id="13" xr3:uid="{AAA570FE-B04A-45B2-AE6F-41B2B802CD31}" uniqueName="Col8" name="Col8">
      <xmlColumnPr mapId="11" xpath="/WDSMatrix/MData/Col8" xmlDataType="double"/>
    </tableColumn>
    <tableColumn id="14" xr3:uid="{622996D3-665E-4FEC-B367-AFB3BC2060E8}" uniqueName="Col9" name="Col9">
      <xmlColumnPr mapId="11" xpath="/WDSMatrix/MData/Col9" xmlDataType="double"/>
    </tableColumn>
    <tableColumn id="15" xr3:uid="{26378C9C-92F0-4E91-8CDD-5CD2AEA25B66}" uniqueName="Col10" name="Col10">
      <xmlColumnPr mapId="11" xpath="/WDSMatrix/MData/Col10" xmlDataType="double"/>
    </tableColumn>
    <tableColumn id="16" xr3:uid="{654537B6-3EEE-4DC0-8196-82BBFA58561C}" uniqueName="Col11" name="Col11">
      <xmlColumnPr mapId="11" xpath="/WDSMatrix/MData/Col11" xmlDataType="double"/>
    </tableColumn>
    <tableColumn id="17" xr3:uid="{2D5F02B3-6E19-4B94-82C5-640EF0229256}" uniqueName="Col12" name="Col12">
      <xmlColumnPr mapId="11" xpath="/WDSMatrix/MData/Col12" xmlDataType="double"/>
    </tableColumn>
    <tableColumn id="18" xr3:uid="{42472C24-519F-45B0-8AA8-65586C322F04}" uniqueName="Col13" name="Col13">
      <xmlColumnPr mapId="11" xpath="/WDSMatrix/MData/Col13" xmlDataType="double"/>
    </tableColumn>
    <tableColumn id="19" xr3:uid="{22786D9B-E4D4-4BDA-A8EB-E815F167FF81}" uniqueName="Col14" name="Col14">
      <xmlColumnPr mapId="11" xpath="/WDSMatrix/MData/Col14" xmlDataType="double"/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FC6D6F97-59A6-4588-88A3-561289050B70}" name="Table112" displayName="Table112" ref="A31:G32" tableType="xml" insertRow="1" totalsRowShown="0">
  <autoFilter ref="A31:G32" xr:uid="{FC6D6F97-59A6-4588-88A3-561289050B70}"/>
  <tableColumns count="7">
    <tableColumn id="1" xr3:uid="{C3CD8F86-F7F6-434A-AF8A-DE1C1A3B1F71}" uniqueName="Position" name="Position">
      <xmlColumnPr mapId="11" xpath="/WDSMatrix/Betas/Beta/@Position" xmlDataType="int"/>
    </tableColumn>
    <tableColumn id="2" xr3:uid="{6A3F80C9-3FEE-4560-91BF-EE17894BD49D}" uniqueName="Label" name="Label">
      <xmlColumnPr mapId="11" xpath="/WDSMatrix/Betas/Beta/Label" xmlDataType="string"/>
    </tableColumn>
    <tableColumn id="3" xr3:uid="{49B014E4-CF34-4574-B783-791E4D6DE287}" uniqueName="I" name="I">
      <xmlColumnPr mapId="11" xpath="/WDSMatrix/Betas/Beta/I" xmlDataType="int"/>
    </tableColumn>
    <tableColumn id="4" xr3:uid="{7F4C905A-BEFD-45D0-B1F5-6208327C6277}" uniqueName="J" name="J">
      <xmlColumnPr mapId="11" xpath="/WDSMatrix/Betas/Beta/J" xmlDataType="int"/>
    </tableColumn>
    <tableColumn id="5" xr3:uid="{F5C556DF-18E2-40A3-BADF-B8F5457A5862}" uniqueName="Value" name="Value">
      <xmlColumnPr mapId="11" xpath="/WDSMatrix/Betas/Beta/Value" xmlDataType="double"/>
    </tableColumn>
    <tableColumn id="6" xr3:uid="{2752160F-7530-49F8-A90E-1793F7775535}" uniqueName="FlowRef" name="FlowRef">
      <xmlColumnPr mapId="11" xpath="/WDSMatrix/Betas/Beta/FlowRef" xmlDataType="int"/>
    </tableColumn>
    <tableColumn id="7" xr3:uid="{FE04C9A8-FFE4-460E-BBD0-1E89CEF9BD56}" uniqueName="OpZeroOrOne" name="OpZeroOrOne">
      <xmlColumnPr mapId="11" xpath="/WDSMatrix/Betas/Beta/OpZeroOrOne" xmlDataType="int"/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6CD8F5BC-6002-4FAB-A1B2-2ED4DA0B8941}" name="Table114" displayName="Table114" ref="I31:R32" tableType="xml" insertRow="1" totalsRowShown="0">
  <autoFilter ref="I31:R32" xr:uid="{6CD8F5BC-6002-4FAB-A1B2-2ED4DA0B8941}"/>
  <tableColumns count="10">
    <tableColumn id="1" xr3:uid="{3C519953-91CD-43B2-9CB3-419C8E8B8277}" uniqueName="Position" name="Position">
      <xmlColumnPr mapId="11" xpath="/WDSMatrix/FunctionalInputs/FunctionInput/@Position" xmlDataType="int"/>
    </tableColumn>
    <tableColumn id="2" xr3:uid="{425B6A11-DB64-4C6A-AA6C-F6C59D73B773}" uniqueName="Label" name="Label">
      <xmlColumnPr mapId="11" xpath="/WDSMatrix/FunctionalInputs/FunctionInput/Label" xmlDataType="string"/>
    </tableColumn>
    <tableColumn id="3" xr3:uid="{4D91EF86-7E81-4B8E-BC68-EDDF9B847C1D}" uniqueName="I" name="I">
      <xmlColumnPr mapId="11" xpath="/WDSMatrix/FunctionalInputs/FunctionInput/I" xmlDataType="int"/>
    </tableColumn>
    <tableColumn id="4" xr3:uid="{8008EE60-4729-4C2F-BFA0-7C80B0EAC820}" uniqueName="J" name="J">
      <xmlColumnPr mapId="11" xpath="/WDSMatrix/FunctionalInputs/FunctionInput/J" xmlDataType="int"/>
    </tableColumn>
    <tableColumn id="5" xr3:uid="{2234F98C-6706-4723-925D-8E8CB12DB056}" uniqueName="Value" name="Value">
      <xmlColumnPr mapId="11" xpath="/WDSMatrix/FunctionalInputs/FunctionInput/Value" xmlDataType="double"/>
    </tableColumn>
    <tableColumn id="6" xr3:uid="{EE7AE93E-5BC2-429C-9D49-33B04AF62925}" uniqueName="FlowRef" name="FlowRef">
      <xmlColumnPr mapId="11" xpath="/WDSMatrix/FunctionalInputs/FunctionInput/FlowRef" xmlDataType="int"/>
    </tableColumn>
    <tableColumn id="7" xr3:uid="{D7F7F611-326A-4C00-A14F-1BE18FF1F7C4}" uniqueName="OpZeroOrOne" name="OpZeroOrOne">
      <xmlColumnPr mapId="11" xpath="/WDSMatrix/FunctionalInputs/FunctionInput/OpZeroOrOne" xmlDataType="int"/>
    </tableColumn>
    <tableColumn id="8" xr3:uid="{65F7DEC0-1482-42A4-A3A5-4EF3575EEF61}" uniqueName="BaseSetInd" name="BaseSetInd">
      <xmlColumnPr mapId="11" xpath="/WDSMatrix/FunctionalInputs/FunctionInput/BaseSetInd" xmlDataType="int"/>
    </tableColumn>
    <tableColumn id="9" xr3:uid="{5A97D835-268D-4E60-AE70-BC26DCBC2FA9}" uniqueName="Script" name="Script">
      <xmlColumnPr mapId="11" xpath="/WDSMatrix/FunctionalInputs/FunctionInput/Script" xmlDataType="string"/>
    </tableColumn>
    <tableColumn id="10" xr3:uid="{CF233651-6397-4B46-A181-846B4B543619}" uniqueName="InputReference" name="InputReference">
      <xmlColumnPr mapId="11" xpath="/WDSMatrix/FunctionalInputs/FunctionInput/InputReference" xmlDataType="int"/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2EDCB1B3-2D2C-4B15-AA5B-B4A1CB3849AE}" name="Table116" displayName="Table116" ref="T31:AC32" tableType="xml" insertRow="1" totalsRowShown="0">
  <autoFilter ref="T31:AC32" xr:uid="{2EDCB1B3-2D2C-4B15-AA5B-B4A1CB3849AE}"/>
  <tableColumns count="10">
    <tableColumn id="1" xr3:uid="{C45110AF-6F34-4432-BA1B-1625A1EB3C99}" uniqueName="Position" name="Position">
      <xmlColumnPr mapId="11" xpath="/WDSMatrix/RedundantFunctionalInputs/FunctionInput/@Position" xmlDataType="int"/>
    </tableColumn>
    <tableColumn id="2" xr3:uid="{581CEC01-7D5A-42EF-AD7B-701419475AC8}" uniqueName="Label" name="Label">
      <xmlColumnPr mapId="11" xpath="/WDSMatrix/RedundantFunctionalInputs/FunctionInput/Label" xmlDataType="string"/>
    </tableColumn>
    <tableColumn id="3" xr3:uid="{41542912-17B0-4550-8A39-ED06A45A4A07}" uniqueName="I" name="I">
      <xmlColumnPr mapId="11" xpath="/WDSMatrix/RedundantFunctionalInputs/FunctionInput/I" xmlDataType="int"/>
    </tableColumn>
    <tableColumn id="4" xr3:uid="{1A0BCA56-ACD9-4391-BAED-B142FFCD1DD0}" uniqueName="J" name="J">
      <xmlColumnPr mapId="11" xpath="/WDSMatrix/RedundantFunctionalInputs/FunctionInput/J" xmlDataType="int"/>
    </tableColumn>
    <tableColumn id="5" xr3:uid="{8A5D4EC9-CD88-4FD5-8D02-5D23A3A82F93}" uniqueName="Value" name="Value">
      <xmlColumnPr mapId="11" xpath="/WDSMatrix/RedundantFunctionalInputs/FunctionInput/Value" xmlDataType="double"/>
    </tableColumn>
    <tableColumn id="6" xr3:uid="{1E000FDD-C7B7-436E-9113-EED4825B388A}" uniqueName="FlowRef" name="FlowRef">
      <xmlColumnPr mapId="11" xpath="/WDSMatrix/RedundantFunctionalInputs/FunctionInput/FlowRef" xmlDataType="int"/>
    </tableColumn>
    <tableColumn id="7" xr3:uid="{893871E8-DDAB-42B7-90BF-F6BA8332633D}" uniqueName="OpZeroOrOne" name="OpZeroOrOne">
      <xmlColumnPr mapId="11" xpath="/WDSMatrix/RedundantFunctionalInputs/FunctionInput/OpZeroOrOne" xmlDataType="int"/>
    </tableColumn>
    <tableColumn id="8" xr3:uid="{1E61C913-05FC-4F3E-9BB8-2CFFCB6A4D3F}" uniqueName="BaseSetInd" name="BaseSetInd">
      <xmlColumnPr mapId="11" xpath="/WDSMatrix/RedundantFunctionalInputs/FunctionInput/BaseSetInd" xmlDataType="int"/>
    </tableColumn>
    <tableColumn id="9" xr3:uid="{748AB803-7174-4844-ADAA-BEC2E52CD8BF}" uniqueName="Script" name="Script">
      <xmlColumnPr mapId="11" xpath="/WDSMatrix/RedundantFunctionalInputs/FunctionInput/Script" xmlDataType="string"/>
    </tableColumn>
    <tableColumn id="10" xr3:uid="{8C857F14-2844-4979-90BF-E99726064392}" uniqueName="InputReference" name="InputReference">
      <xmlColumnPr mapId="11" xpath="/WDSMatrix/RedundantFunctionalInputs/FunctionInput/InputReference" xmlDataType="int"/>
    </tableColumn>
  </tableColumns>
  <tableStyleInfo name="TableStyleMedium2" showFirstColumn="0" showLastColumn="0" showRowStripes="1" showColumnStripes="0"/>
</table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70" xr6:uid="{51E6B845-4712-4363-860A-18AE64709C84}" r="B2" connectionId="0">
    <xmlCellPr id="1" xr6:uid="{6245A1BA-1975-4773-AE24-8C3DE95B69EA}" uniqueName="Name">
      <xmlPr mapId="13" xpath="/WDSStocksAndFlows/@Name" xmlDataType="string"/>
    </xmlCellPr>
  </singleXmlCell>
  <singleXmlCell id="71" xr6:uid="{863DED00-6778-4745-8207-E132191656E3}" r="B3" connectionId="0">
    <xmlCellPr id="1" xr6:uid="{06502FBF-A6B3-425C-96E2-1C90BA083B6F}" uniqueName="Handle">
      <xmlPr mapId="13" xpath="/WDSStocksAndFlows/@Handle" xmlDataType="string"/>
    </xmlCellPr>
  </singleXmlCell>
  <singleXmlCell id="72" xr6:uid="{EEAC5B2C-9365-4236-94E5-15271A5929B0}" r="G3" connectionId="0">
    <xmlCellPr id="1" xr6:uid="{C83FFF6F-F57A-4C99-BFFA-AC20B219BB7A}" uniqueName="Handle">
      <xmlPr mapId="13" xpath="/WDSStocksAndFlows/Units/@Handle" xmlDataType="string"/>
    </xmlCellPr>
  </singleXmlCell>
  <singleXmlCell id="73" xr6:uid="{D8BA64C8-6422-4ED6-B3E0-1402CF598F59}" r="G9" connectionId="0">
    <xmlCellPr id="1" xr6:uid="{47DC8368-A34F-4582-BA66-A1D0DC8A14C7}" uniqueName="Handle">
      <xmlPr mapId="13" xpath="/WDSStocksAndFlows/Stocks/@Handle" xmlDataType="string"/>
    </xmlCellPr>
  </singleXmlCell>
  <singleXmlCell id="74" xr6:uid="{454272AC-A04C-4CA5-BBFE-D40FCB47FC22}" r="G10" connectionId="0">
    <xmlCellPr id="1" xr6:uid="{87EEBFE2-9243-428E-811E-37AD3DE38711}" uniqueName="Number">
      <xmlPr mapId="13" xpath="/WDSStocksAndFlows/Stocks/Number" xmlDataType="int"/>
    </xmlCellPr>
  </singleXmlCell>
  <singleXmlCell id="75" xr6:uid="{919694AF-CDD5-4FFE-B5B8-F0C9AFAA0B74}" r="G11" connectionId="0">
    <xmlCellPr id="1" xr6:uid="{F7751691-B19B-43B8-8974-2602EF4949EE}" uniqueName="MacroReturnNumber">
      <xmlPr mapId="13" xpath="/WDSStocksAndFlows/Stocks/MacroReturnNumber" xmlDataType="int"/>
    </xmlCellPr>
  </singleXmlCell>
  <singleXmlCell id="76" xr6:uid="{35600462-C8DE-4A91-A90E-5C196C9BE5A8}" r="G12" connectionId="0">
    <xmlCellPr id="1" xr6:uid="{917C2402-A7D3-4015-898A-2A6EA26BB0DB}" uniqueName="FunctionReturnNumber">
      <xmlPr mapId="13" xpath="/WDSStocksAndFlows/Stocks/FunctionReturnNumber" xmlDataType="int"/>
    </xmlCellPr>
  </singleXmlCell>
  <singleXmlCell id="77" xr6:uid="{071F7103-EB8D-4530-92BD-12DF5A14E6CA}" r="G28" connectionId="0">
    <xmlCellPr id="1" xr6:uid="{113E32AF-F887-40D8-95A7-A4C314CAF02C}" uniqueName="Handle">
      <xmlPr mapId="13" xpath="/WDSStocksAndFlows/Flows/@Handle" xmlDataType="string"/>
    </xmlCellPr>
  </singleXmlCell>
  <singleXmlCell id="78" xr6:uid="{5AEFEF6A-54E3-44CB-9CFC-77A4D0D95DCD}" r="G29" connectionId="0">
    <xmlCellPr id="1" xr6:uid="{64ECA9DD-DB59-4F2B-B1FF-367F984A9330}" uniqueName="Number">
      <xmlPr mapId="13" xpath="/WDSStocksAndFlows/Flows/Number" xmlDataType="int"/>
    </xmlCellPr>
  </singleXmlCell>
  <singleXmlCell id="79" xr6:uid="{9CA98C0A-F204-4B42-8DE9-D711054F48C0}" r="G30" connectionId="0">
    <xmlCellPr id="1" xr6:uid="{343A5BD7-1FC4-4F98-BA7E-C40BC8679067}" uniqueName="MacroReturnNumber">
      <xmlPr mapId="13" xpath="/WDSStocksAndFlows/Flows/MacroReturnNumber" xmlDataType="int"/>
    </xmlCellPr>
  </singleXmlCell>
  <singleXmlCell id="80" xr6:uid="{F5510817-C4BA-416D-AEFA-37B3A2A21BDE}" r="G31" connectionId="0">
    <xmlCellPr id="1" xr6:uid="{4776228D-EE02-4E17-9C16-0A987EBA0B94}" uniqueName="FunctionReturnNumber">
      <xmlPr mapId="13" xpath="/WDSStocksAndFlows/Flows/FunctionReturnNumber" xmlDataType="int"/>
    </xmlCellPr>
  </singleXmlCell>
  <singleXmlCell id="81" xr6:uid="{BC271DB3-7F34-40CA-900E-B430CB7F7E96}" r="B11" connectionId="0">
    <xmlCellPr id="1" xr6:uid="{23D1D5DF-1941-4F18-B5BA-EE3DE519F2BA}" uniqueName="Handle">
      <xmlPr mapId="13" xpath="/WDSStocksAndFlows/Orders/@Handle" xmlDataType="string"/>
    </xmlCellPr>
  </singleXmlCell>
</singleXmlCells>
</file>

<file path=xl/tables/tableSingleCells2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82" xr6:uid="{B0971FCE-72B6-4714-8B49-930D3DFFB294}" r="B2" connectionId="0">
    <xmlCellPr id="1" xr6:uid="{B3BA764E-28C6-4967-BB35-8396ECEBE16B}" uniqueName="Name">
      <xmlPr mapId="12" xpath="/WDSStateSpace/@Name" xmlDataType="string"/>
    </xmlCellPr>
  </singleXmlCell>
  <singleXmlCell id="83" xr6:uid="{CFEA47C0-6198-468D-9BFC-C78C587E0743}" r="B3" connectionId="0">
    <xmlCellPr id="1" xr6:uid="{8D0888B1-C3DB-4E63-B141-3BE4C8C36AFD}" uniqueName="Handle">
      <xmlPr mapId="12" xpath="/WDSStateSpace/@Handle" xmlDataType="string"/>
    </xmlCellPr>
  </singleXmlCell>
  <singleXmlCell id="84" xr6:uid="{BC1A816D-9018-4007-9BCE-8D3D89FEB01A}" r="B28" connectionId="0">
    <xmlCellPr id="1" xr6:uid="{D7A1F79B-7525-4372-8D4F-2B828C1292A5}" uniqueName="Handle">
      <xmlPr mapId="12" xpath="/WDSStateSpace/States/@Handle" xmlDataType="string"/>
    </xmlCellPr>
  </singleXmlCell>
  <singleXmlCell id="85" xr6:uid="{0FBE3566-8A5E-419D-8439-59D261C168D3}" r="B29" connectionId="0">
    <xmlCellPr id="1" xr6:uid="{EC20843C-5F37-4FA4-BFF2-A8CC38B1D7FB}" uniqueName="Number">
      <xmlPr mapId="12" xpath="/WDSStateSpace/States/Number" xmlDataType="int"/>
    </xmlCellPr>
  </singleXmlCell>
  <singleXmlCell id="86" xr6:uid="{81C3D425-EBE9-4C5E-A27D-9C6CF2A67E8A}" r="B30" connectionId="0">
    <xmlCellPr id="1" xr6:uid="{DF2E6C49-276A-4264-A408-D20C7A0582C1}" uniqueName="NumberOfBaseDimensions">
      <xmlPr mapId="12" xpath="/WDSStateSpace/States/NumberOfBaseDimensions" xmlDataType="int"/>
    </xmlCellPr>
  </singleXmlCell>
  <singleXmlCell id="87" xr6:uid="{4847DEF2-7A74-4776-A5AA-CE5AF787DAE6}" r="B31" connectionId="0">
    <xmlCellPr id="1" xr6:uid="{29BE3E52-586A-49E1-AC5D-797C1ED8E97C}" uniqueName="NumberOfAgePages">
      <xmlPr mapId="12" xpath="/WDSStateSpace/States/NumberOfAgePages" xmlDataType="int"/>
    </xmlCellPr>
  </singleXmlCell>
  <singleXmlCell id="88" xr6:uid="{5F63967D-F4FD-42EA-A12B-5D895E2DF860}" r="B32" connectionId="0">
    <xmlCellPr id="1" xr6:uid="{9698CB23-B878-49BE-ACEF-DEB5A5417E95}" uniqueName="Axis1LimitDefault">
      <xmlPr mapId="12" xpath="/WDSStateSpace/States/Axis1LimitDefault" xmlDataType="int"/>
    </xmlCellPr>
  </singleXmlCell>
  <singleXmlCell id="89" xr6:uid="{0FD892E1-2B09-4186-8288-B8F6853182F9}" r="B33" connectionId="0">
    <xmlCellPr id="1" xr6:uid="{94E83034-4AE6-48F0-A5DB-3557A41C8942}" uniqueName="Axis2LimitDefault">
      <xmlPr mapId="12" xpath="/WDSStateSpace/States/Axis2LimitDefault" xmlDataType="int"/>
    </xmlCellPr>
  </singleXmlCell>
  <singleXmlCell id="90" xr6:uid="{E214715E-F5AA-452E-9EFC-D136CBF29E5A}" r="B34" connectionId="0">
    <xmlCellPr id="1" xr6:uid="{AB2599C5-E2D1-44A5-9719-9BBDC15F73A1}" uniqueName="Axis3LimitDefault">
      <xmlPr mapId="12" xpath="/WDSStateSpace/States/Axis3LimitDefault" xmlDataType="int"/>
    </xmlCellPr>
  </singleXmlCell>
  <singleXmlCell id="91" xr6:uid="{7720FB4B-13CE-48F6-ADFC-E7E6E818386F}" r="B35" connectionId="0">
    <xmlCellPr id="1" xr6:uid="{2534442F-81F4-4227-8D86-4EFE0B9019F6}" uniqueName="Axis4LimitDefault">
      <xmlPr mapId="12" xpath="/WDSStateSpace/States/Axis4LimitDefault" xmlDataType="int"/>
    </xmlCellPr>
  </singleXmlCell>
  <singleXmlCell id="92" xr6:uid="{DC28CC31-2F2D-4933-881E-4CA53752AF80}" r="B12" connectionId="0">
    <xmlCellPr id="1" xr6:uid="{232E86B9-429B-46A2-BE0E-58BA19B88088}" uniqueName="Handle">
      <xmlPr mapId="12" xpath="/WDSStateSpace/Stages/@Handle" xmlDataType="string"/>
    </xmlCellPr>
  </singleXmlCell>
  <singleXmlCell id="93" xr6:uid="{7C5B1339-9254-46C6-BD25-97E7775218F1}" r="B13" connectionId="0">
    <xmlCellPr id="1" xr6:uid="{13EA900F-6ADF-4836-8E94-239CB3DA29D0}" uniqueName="Number">
      <xmlPr mapId="12" xpath="/WDSStateSpace/Stages/Number" xmlDataType="int"/>
    </xmlCellPr>
  </singleXmlCell>
  <singleXmlCell id="94" xr6:uid="{0D50BFF8-760F-4D2B-8F36-0B8439C5BFAB}" r="L2" connectionId="0">
    <xmlCellPr id="1" xr6:uid="{0A35B7C9-C18C-469F-BAB3-78A6A1C2FDF7}" uniqueName="Handle">
      <xmlPr mapId="12" xpath="/WDSStateSpace/Bridges/@Handle" xmlDataType="string"/>
    </xmlCellPr>
  </singleXmlCell>
  <singleXmlCell id="95" xr6:uid="{AE4A22B3-9F66-4ABA-B3B7-70614E049FAD}" r="L3" connectionId="0">
    <xmlCellPr id="1" xr6:uid="{4396DF5A-23C8-4D96-9158-2E81F64725B4}" uniqueName="Number">
      <xmlPr mapId="12" xpath="/WDSStateSpace/Bridges/Number" xmlDataType="int"/>
    </xmlCellPr>
  </singleXmlCell>
</singleXmlCells>
</file>

<file path=xl/tables/tableSingleCells3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96" xr6:uid="{E7DA8916-6F2E-4CDF-B2FC-78D9373F0CED}" r="B2" connectionId="0">
    <xmlCellPr id="1" xr6:uid="{04C39897-0A74-4E75-9947-C9E20F1B1C80}" uniqueName="Name">
      <xmlPr mapId="11" xpath="/WDSMatrix/@Name" xmlDataType="string"/>
    </xmlCellPr>
  </singleXmlCell>
  <singleXmlCell id="97" xr6:uid="{F1111BBE-C483-4F03-A8EF-28EF3A1BEAE3}" r="B3" connectionId="0">
    <xmlCellPr id="1" xr6:uid="{B0B15022-26A1-4658-A419-CD8D32DD3F0C}" uniqueName="NumberOfStates">
      <xmlPr mapId="11" xpath="/WDSMatrix/NumberOfStates" xmlDataType="int"/>
    </xmlCellPr>
  </singleXmlCell>
  <singleXmlCell id="98" xr6:uid="{97A8201D-161F-4C45-ABE1-2F44A8FA6FBD}" r="B4" connectionId="0">
    <xmlCellPr id="1" xr6:uid="{ACFA4E81-264C-4CEA-AFE5-58EB76A434D4}" uniqueName="NumberOfAdditionalAxes">
      <xmlPr mapId="11" xpath="/WDSMatrix/NumberOfAdditionalAxes" xmlDataType="int"/>
    </xmlCellPr>
  </singleXmlCell>
  <singleXmlCell id="99" xr6:uid="{8158352E-EA05-4CF7-A296-52DC0F720DE8}" r="B5" connectionId="0">
    <xmlCellPr id="1" xr6:uid="{D07E6F13-4FD4-41A7-91D0-87DD37613A00}" uniqueName="ProvidesNonZeroCoords">
      <xmlPr mapId="11" xpath="/WDSMatrix/ProvidesNonZeroCoords" xmlDataType="int"/>
    </xmlCellPr>
  </singleXmlCell>
  <singleXmlCell id="100" xr6:uid="{E62E8BF6-D07E-443D-9F01-EE771002A618}" r="A7" connectionId="0">
    <xmlCellPr id="1" xr6:uid="{A64423F6-3A7C-4EC6-955C-8E0D53D8DD81}" uniqueName="Axis1">
      <xmlPr mapId="11" xpath="/WDSMatrix/AdditionalAxesUpperLimits/Axis1" xmlDataType="int"/>
    </xmlCellPr>
  </singleXmlCell>
  <singleXmlCell id="101" xr6:uid="{A1D7936A-AB62-49CE-A17B-2E8547D9E063}" r="B7" connectionId="0">
    <xmlCellPr id="1" xr6:uid="{0DDB9391-635B-4935-9AA4-CB7761EDA862}" uniqueName="Axis2">
      <xmlPr mapId="11" xpath="/WDSMatrix/AdditionalAxesUpperLimits/Axis2" xmlDataType="int"/>
    </xmlCellPr>
  </singleXmlCell>
  <singleXmlCell id="102" xr6:uid="{B0FD0D05-E211-44CE-8423-D5934A4A999C}" r="C7" connectionId="0">
    <xmlCellPr id="1" xr6:uid="{65284DDD-5BD6-4DDC-842A-7D347B153342}" uniqueName="Axis3">
      <xmlPr mapId="11" xpath="/WDSMatrix/AdditionalAxesUpperLimits/Axis3" xmlDataType="int"/>
    </xmlCellPr>
  </singleXmlCell>
  <singleXmlCell id="103" xr6:uid="{9987959A-F9D7-4312-8551-EDA89C781204}" r="D7" connectionId="0">
    <xmlCellPr id="1" xr6:uid="{BD461EF8-A640-4598-A64D-5D8FB4604F49}" uniqueName="Axis4">
      <xmlPr mapId="11" xpath="/WDSMatrix/AdditionalAxesUpperLimits/Axis4" xmlDataType="int"/>
    </xmlCellPr>
  </singleXmlCell>
  <singleXmlCell id="104" xr6:uid="{0A1E4EEB-0328-487E-ACAB-454D76C7850A}" r="A9" connectionId="0">
    <xmlCellPr id="1" xr6:uid="{233B87B9-BD68-400D-8460-EAF4744E34CB}" uniqueName="Axis1">
      <xmlPr mapId="11" xpath="/WDSMatrix/AdditionalAxesLowerLimits/Axis1" xmlDataType="int"/>
    </xmlCellPr>
  </singleXmlCell>
  <singleXmlCell id="105" xr6:uid="{0BB186B6-FF06-41DA-A876-371B4F29C437}" r="B9" connectionId="0">
    <xmlCellPr id="1" xr6:uid="{014AE36A-FD63-401D-AA40-722F667B0CBD}" uniqueName="Axis2">
      <xmlPr mapId="11" xpath="/WDSMatrix/AdditionalAxesLowerLimits/Axis2" xmlDataType="int"/>
    </xmlCellPr>
  </singleXmlCell>
  <singleXmlCell id="106" xr6:uid="{C36F620E-B6B3-43B0-BD26-98922CFE3562}" r="C9" connectionId="0">
    <xmlCellPr id="1" xr6:uid="{81691A8A-C4BD-4614-8129-DDD7B16FB3EF}" uniqueName="Axis3">
      <xmlPr mapId="11" xpath="/WDSMatrix/AdditionalAxesLowerLimits/Axis3" xmlDataType="int"/>
    </xmlCellPr>
  </singleXmlCell>
  <singleXmlCell id="107" xr6:uid="{52F3931D-15E9-4D8F-9A16-30604A7EDC7B}" r="D9" connectionId="0">
    <xmlCellPr id="1" xr6:uid="{637579BD-76BC-4FF0-BF99-A54657254460}" uniqueName="Axis4">
      <xmlPr mapId="11" xpath="/WDSMatrix/AdditionalAxesLowerLimits/Axis4" xmlDataType="int"/>
    </xmlCellPr>
  </singleXmlCell>
  <singleXmlCell id="111" xr6:uid="{7B5F41EB-4694-45B8-9281-CC86D7102C99}" r="B30" connectionId="0">
    <xmlCellPr id="1" xr6:uid="{51FD04C9-37CF-42EB-940A-7B6C882D651E}" uniqueName="Number">
      <xmlPr mapId="11" xpath="/WDSMatrix/Betas/Number" xmlDataType="int"/>
    </xmlCellPr>
  </singleXmlCell>
  <singleXmlCell id="113" xr6:uid="{67A5F9F4-2188-471F-8FCF-CF38D172FB79}" r="J30" connectionId="0">
    <xmlCellPr id="1" xr6:uid="{2B4F8E62-9146-4103-BAF0-2C36E4CD3389}" uniqueName="Number">
      <xmlPr mapId="11" xpath="/WDSMatrix/FunctionalInputs/Number" xmlDataType="int"/>
    </xmlCellPr>
  </singleXmlCell>
  <singleXmlCell id="115" xr6:uid="{16CEF64D-449B-467B-8E46-35C4A081EB72}" r="U30" connectionId="0">
    <xmlCellPr id="1" xr6:uid="{744ABEEA-F0F2-4165-9FB5-ACC24E5672C6}" uniqueName="Number">
      <xmlPr mapId="11" xpath="/WDSMatrix/RedundantFunctionalInputs/Number" xmlDataType="int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tableSingleCells" Target="../tables/tableSingleCells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tableSingleCells" Target="../tables/tableSingleCells2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tableSingleCells" Target="../tables/tableSingleCells3.xml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B95B9-B1A2-44A9-900B-2CD3CC3EFE3C}">
  <sheetPr codeName="Sheet1"/>
  <dimension ref="A1:AT53"/>
  <sheetViews>
    <sheetView workbookViewId="0"/>
  </sheetViews>
  <sheetFormatPr defaultRowHeight="14.5" x14ac:dyDescent="0.35"/>
  <cols>
    <col min="1" max="1" width="12.453125" bestFit="1" customWidth="1"/>
    <col min="2" max="2" width="18.26953125" bestFit="1" customWidth="1"/>
    <col min="3" max="3" width="11.36328125" bestFit="1" customWidth="1"/>
    <col min="4" max="4" width="13.81640625" customWidth="1"/>
    <col min="5" max="5" width="1.81640625" bestFit="1" customWidth="1"/>
    <col min="6" max="6" width="12.08984375" bestFit="1" customWidth="1"/>
    <col min="7" max="7" width="9" bestFit="1" customWidth="1"/>
    <col min="8" max="8" width="7.54296875" customWidth="1"/>
    <col min="9" max="9" width="1.81640625" bestFit="1" customWidth="1"/>
    <col min="10" max="10" width="9.6328125" customWidth="1"/>
    <col min="11" max="11" width="12.81640625" customWidth="1"/>
    <col min="12" max="12" width="11.6328125" customWidth="1"/>
    <col min="13" max="13" width="68.453125" bestFit="1" customWidth="1"/>
    <col min="14" max="14" width="16.1796875" bestFit="1" customWidth="1"/>
    <col min="15" max="15" width="11.1796875" bestFit="1" customWidth="1"/>
    <col min="16" max="16" width="14.36328125" customWidth="1"/>
    <col min="17" max="17" width="16.36328125" customWidth="1"/>
    <col min="18" max="18" width="22.81640625" customWidth="1"/>
    <col min="19" max="20" width="10.6328125" customWidth="1"/>
    <col min="21" max="22" width="16.36328125" customWidth="1"/>
    <col min="23" max="23" width="14.6328125" customWidth="1"/>
    <col min="24" max="25" width="18.7265625" customWidth="1"/>
    <col min="26" max="26" width="16.1796875" customWidth="1"/>
    <col min="27" max="27" width="14.6328125" customWidth="1"/>
    <col min="28" max="29" width="18.7265625" customWidth="1"/>
    <col min="30" max="30" width="16.1796875" customWidth="1"/>
    <col min="31" max="31" width="14.6328125" customWidth="1"/>
    <col min="32" max="33" width="18.7265625" customWidth="1"/>
    <col min="34" max="34" width="16.1796875" customWidth="1"/>
    <col min="35" max="35" width="14.6328125" customWidth="1"/>
    <col min="36" max="37" width="18.7265625" customWidth="1"/>
    <col min="38" max="38" width="16.1796875" customWidth="1"/>
    <col min="39" max="39" width="14.6328125" customWidth="1"/>
    <col min="40" max="41" width="18.7265625" customWidth="1"/>
    <col min="42" max="42" width="16.1796875" customWidth="1"/>
    <col min="43" max="43" width="14.6328125" customWidth="1"/>
    <col min="44" max="45" width="18.7265625" customWidth="1"/>
    <col min="46" max="46" width="16.1796875" customWidth="1"/>
  </cols>
  <sheetData>
    <row r="1" spans="1:46" x14ac:dyDescent="0.35">
      <c r="A1" t="s">
        <v>0</v>
      </c>
    </row>
    <row r="2" spans="1:46" x14ac:dyDescent="0.35">
      <c r="A2" t="s">
        <v>1</v>
      </c>
      <c r="B2" s="1" t="s">
        <v>285</v>
      </c>
      <c r="F2" t="s">
        <v>2</v>
      </c>
      <c r="J2" t="s">
        <v>6</v>
      </c>
    </row>
    <row r="3" spans="1:46" x14ac:dyDescent="0.35">
      <c r="A3" t="s">
        <v>3</v>
      </c>
      <c r="B3" s="1" t="s">
        <v>4</v>
      </c>
      <c r="F3" t="s">
        <v>3</v>
      </c>
      <c r="G3" s="1" t="s">
        <v>5</v>
      </c>
      <c r="J3" t="s">
        <v>8</v>
      </c>
      <c r="K3" t="s">
        <v>9</v>
      </c>
      <c r="L3" t="s">
        <v>10</v>
      </c>
      <c r="M3" t="s">
        <v>11</v>
      </c>
      <c r="N3" t="s">
        <v>12</v>
      </c>
      <c r="O3" t="s">
        <v>13</v>
      </c>
      <c r="P3" t="s">
        <v>14</v>
      </c>
      <c r="Q3" t="s">
        <v>15</v>
      </c>
      <c r="R3" t="s">
        <v>16</v>
      </c>
    </row>
    <row r="4" spans="1:46" x14ac:dyDescent="0.35">
      <c r="A4" t="s">
        <v>7</v>
      </c>
      <c r="F4" t="s">
        <v>7</v>
      </c>
      <c r="J4">
        <v>1</v>
      </c>
      <c r="K4" s="1" t="s">
        <v>6</v>
      </c>
      <c r="L4" s="1" t="s">
        <v>6</v>
      </c>
      <c r="M4" s="1" t="s">
        <v>6</v>
      </c>
      <c r="N4" s="1" t="s">
        <v>18</v>
      </c>
      <c r="O4" s="1" t="s">
        <v>19</v>
      </c>
      <c r="P4">
        <v>1</v>
      </c>
      <c r="Q4">
        <v>0</v>
      </c>
      <c r="R4">
        <v>0.4</v>
      </c>
    </row>
    <row r="5" spans="1:46" x14ac:dyDescent="0.35">
      <c r="A5" t="s">
        <v>1</v>
      </c>
      <c r="B5" t="s">
        <v>13</v>
      </c>
      <c r="C5" t="s">
        <v>17</v>
      </c>
      <c r="F5" t="s">
        <v>1</v>
      </c>
      <c r="G5" t="s">
        <v>13</v>
      </c>
      <c r="H5" t="s">
        <v>17</v>
      </c>
    </row>
    <row r="6" spans="1:46" x14ac:dyDescent="0.35">
      <c r="A6" s="1" t="s">
        <v>20</v>
      </c>
      <c r="B6" s="1" t="s">
        <v>21</v>
      </c>
      <c r="C6" s="1" t="s">
        <v>22</v>
      </c>
      <c r="F6" s="1" t="s">
        <v>23</v>
      </c>
      <c r="G6" s="1" t="s">
        <v>21</v>
      </c>
      <c r="H6" s="1" t="s">
        <v>24</v>
      </c>
    </row>
    <row r="7" spans="1:46" x14ac:dyDescent="0.35">
      <c r="A7" s="1" t="s">
        <v>25</v>
      </c>
      <c r="B7" s="1" t="s">
        <v>21</v>
      </c>
      <c r="C7" s="1" t="s">
        <v>26</v>
      </c>
    </row>
    <row r="8" spans="1:46" x14ac:dyDescent="0.35">
      <c r="A8" s="1" t="s">
        <v>27</v>
      </c>
      <c r="B8" s="1" t="s">
        <v>21</v>
      </c>
      <c r="C8" s="1" t="s">
        <v>28</v>
      </c>
      <c r="F8" t="s">
        <v>29</v>
      </c>
      <c r="J8" t="s">
        <v>30</v>
      </c>
    </row>
    <row r="9" spans="1:46" x14ac:dyDescent="0.35">
      <c r="F9" t="s">
        <v>3</v>
      </c>
      <c r="G9" s="1" t="s">
        <v>22</v>
      </c>
      <c r="J9" t="s">
        <v>8</v>
      </c>
      <c r="K9" t="s">
        <v>9</v>
      </c>
      <c r="L9" t="s">
        <v>10</v>
      </c>
      <c r="M9" t="s">
        <v>11</v>
      </c>
      <c r="N9" t="s">
        <v>12</v>
      </c>
      <c r="O9" t="s">
        <v>13</v>
      </c>
      <c r="P9" t="s">
        <v>32</v>
      </c>
      <c r="Q9" t="s">
        <v>33</v>
      </c>
      <c r="R9" t="s">
        <v>34</v>
      </c>
      <c r="S9" t="s">
        <v>35</v>
      </c>
      <c r="T9" t="s">
        <v>14</v>
      </c>
      <c r="U9" t="s">
        <v>36</v>
      </c>
      <c r="V9" t="s">
        <v>37</v>
      </c>
      <c r="W9" t="s">
        <v>38</v>
      </c>
      <c r="X9" t="s">
        <v>39</v>
      </c>
      <c r="Y9" t="s">
        <v>40</v>
      </c>
      <c r="Z9" t="s">
        <v>41</v>
      </c>
      <c r="AA9" t="s">
        <v>42</v>
      </c>
      <c r="AB9" t="s">
        <v>43</v>
      </c>
      <c r="AC9" t="s">
        <v>44</v>
      </c>
      <c r="AD9" t="s">
        <v>45</v>
      </c>
      <c r="AE9" t="s">
        <v>46</v>
      </c>
      <c r="AF9" t="s">
        <v>47</v>
      </c>
      <c r="AG9" t="s">
        <v>48</v>
      </c>
      <c r="AH9" t="s">
        <v>49</v>
      </c>
      <c r="AI9" t="s">
        <v>50</v>
      </c>
      <c r="AJ9" t="s">
        <v>51</v>
      </c>
      <c r="AK9" t="s">
        <v>52</v>
      </c>
      <c r="AL9" t="s">
        <v>53</v>
      </c>
      <c r="AM9" t="s">
        <v>54</v>
      </c>
      <c r="AN9" t="s">
        <v>55</v>
      </c>
      <c r="AO9" t="s">
        <v>56</v>
      </c>
      <c r="AP9" t="s">
        <v>57</v>
      </c>
      <c r="AQ9" t="s">
        <v>58</v>
      </c>
      <c r="AR9" t="s">
        <v>59</v>
      </c>
      <c r="AS9" t="s">
        <v>60</v>
      </c>
      <c r="AT9" t="s">
        <v>61</v>
      </c>
    </row>
    <row r="10" spans="1:46" x14ac:dyDescent="0.35">
      <c r="A10" t="s">
        <v>122</v>
      </c>
      <c r="F10" t="s">
        <v>31</v>
      </c>
      <c r="G10">
        <v>16</v>
      </c>
      <c r="J10">
        <v>1</v>
      </c>
      <c r="K10" s="1" t="s">
        <v>62</v>
      </c>
      <c r="L10" s="1" t="s">
        <v>63</v>
      </c>
      <c r="M10" s="1" t="s">
        <v>64</v>
      </c>
      <c r="N10" s="1" t="s">
        <v>65</v>
      </c>
      <c r="O10" s="1" t="s">
        <v>66</v>
      </c>
      <c r="P10" s="1" t="s">
        <v>67</v>
      </c>
      <c r="Q10" s="1" t="s">
        <v>68</v>
      </c>
      <c r="R10">
        <v>1</v>
      </c>
      <c r="S10">
        <v>1</v>
      </c>
      <c r="T10">
        <v>0</v>
      </c>
      <c r="U10">
        <v>0</v>
      </c>
      <c r="V10">
        <v>4</v>
      </c>
      <c r="W10">
        <v>1</v>
      </c>
      <c r="X10" s="1" t="s">
        <v>69</v>
      </c>
      <c r="Y10">
        <v>8</v>
      </c>
      <c r="Z10">
        <v>1</v>
      </c>
      <c r="AA10">
        <v>1</v>
      </c>
      <c r="AB10" s="1" t="s">
        <v>70</v>
      </c>
      <c r="AC10">
        <v>7</v>
      </c>
      <c r="AD10">
        <v>1</v>
      </c>
      <c r="AE10">
        <v>1</v>
      </c>
      <c r="AF10" s="1" t="s">
        <v>71</v>
      </c>
      <c r="AG10">
        <v>6</v>
      </c>
      <c r="AH10">
        <v>1</v>
      </c>
      <c r="AI10">
        <v>1</v>
      </c>
      <c r="AJ10" s="1" t="s">
        <v>72</v>
      </c>
      <c r="AK10">
        <v>4</v>
      </c>
      <c r="AL10">
        <v>1</v>
      </c>
      <c r="AM10">
        <v>0</v>
      </c>
      <c r="AN10" s="1"/>
      <c r="AO10">
        <v>0</v>
      </c>
      <c r="AP10">
        <v>1</v>
      </c>
      <c r="AQ10">
        <v>0</v>
      </c>
      <c r="AR10" s="1"/>
      <c r="AS10">
        <v>0</v>
      </c>
      <c r="AT10">
        <v>1</v>
      </c>
    </row>
    <row r="11" spans="1:46" x14ac:dyDescent="0.35">
      <c r="A11" t="s">
        <v>3</v>
      </c>
      <c r="B11" s="1" t="s">
        <v>28</v>
      </c>
      <c r="F11" t="s">
        <v>223</v>
      </c>
      <c r="G11">
        <v>8</v>
      </c>
      <c r="J11">
        <v>2</v>
      </c>
      <c r="K11" s="1" t="s">
        <v>73</v>
      </c>
      <c r="L11" s="1" t="s">
        <v>74</v>
      </c>
      <c r="M11" s="1" t="s">
        <v>75</v>
      </c>
      <c r="N11" s="1" t="s">
        <v>76</v>
      </c>
      <c r="O11" s="1" t="s">
        <v>66</v>
      </c>
      <c r="P11" s="1" t="s">
        <v>67</v>
      </c>
      <c r="Q11" s="1" t="s">
        <v>68</v>
      </c>
      <c r="R11">
        <v>1</v>
      </c>
      <c r="S11">
        <v>4</v>
      </c>
      <c r="T11">
        <v>0</v>
      </c>
      <c r="U11">
        <v>0</v>
      </c>
      <c r="V11">
        <v>2</v>
      </c>
      <c r="W11">
        <v>1</v>
      </c>
      <c r="X11" s="1" t="s">
        <v>77</v>
      </c>
      <c r="Y11">
        <v>6</v>
      </c>
      <c r="Z11">
        <v>1</v>
      </c>
      <c r="AA11">
        <v>1</v>
      </c>
      <c r="AB11" s="1" t="s">
        <v>72</v>
      </c>
      <c r="AC11">
        <v>4</v>
      </c>
      <c r="AD11">
        <v>1</v>
      </c>
      <c r="AE11">
        <v>0</v>
      </c>
      <c r="AF11" s="1"/>
      <c r="AG11">
        <v>0</v>
      </c>
      <c r="AH11">
        <v>1</v>
      </c>
      <c r="AI11">
        <v>0</v>
      </c>
      <c r="AJ11" s="1"/>
      <c r="AK11">
        <v>0</v>
      </c>
      <c r="AL11">
        <v>1</v>
      </c>
      <c r="AM11">
        <v>0</v>
      </c>
      <c r="AN11" s="1"/>
      <c r="AO11">
        <v>0</v>
      </c>
      <c r="AP11">
        <v>1</v>
      </c>
      <c r="AQ11">
        <v>0</v>
      </c>
      <c r="AR11" s="1"/>
      <c r="AS11">
        <v>0</v>
      </c>
      <c r="AT11">
        <v>1</v>
      </c>
    </row>
    <row r="12" spans="1:46" x14ac:dyDescent="0.35">
      <c r="A12" t="s">
        <v>8</v>
      </c>
      <c r="B12" t="s">
        <v>9</v>
      </c>
      <c r="C12" t="s">
        <v>134</v>
      </c>
      <c r="D12" t="s">
        <v>135</v>
      </c>
      <c r="F12" t="s">
        <v>224</v>
      </c>
      <c r="G12">
        <v>3</v>
      </c>
      <c r="J12">
        <v>3</v>
      </c>
      <c r="K12" s="1" t="s">
        <v>78</v>
      </c>
      <c r="L12" s="1" t="s">
        <v>79</v>
      </c>
      <c r="M12" s="1" t="s">
        <v>80</v>
      </c>
      <c r="N12" s="1" t="s">
        <v>81</v>
      </c>
      <c r="O12" s="1" t="s">
        <v>82</v>
      </c>
      <c r="P12" s="1" t="s">
        <v>67</v>
      </c>
      <c r="Q12" s="1" t="s">
        <v>83</v>
      </c>
      <c r="R12">
        <v>1</v>
      </c>
      <c r="S12">
        <v>2</v>
      </c>
      <c r="T12">
        <v>0</v>
      </c>
      <c r="U12">
        <v>0</v>
      </c>
      <c r="V12">
        <v>2</v>
      </c>
      <c r="W12">
        <v>1</v>
      </c>
      <c r="X12" s="1" t="s">
        <v>78</v>
      </c>
      <c r="Y12">
        <v>3</v>
      </c>
      <c r="Z12">
        <v>1</v>
      </c>
      <c r="AA12">
        <v>2</v>
      </c>
      <c r="AB12" s="1" t="s">
        <v>84</v>
      </c>
      <c r="AC12">
        <v>6</v>
      </c>
      <c r="AD12">
        <v>1</v>
      </c>
      <c r="AE12">
        <v>0</v>
      </c>
      <c r="AF12" s="1"/>
      <c r="AG12">
        <v>0</v>
      </c>
      <c r="AH12">
        <v>1</v>
      </c>
      <c r="AI12">
        <v>0</v>
      </c>
      <c r="AJ12" s="1"/>
      <c r="AK12">
        <v>0</v>
      </c>
      <c r="AL12">
        <v>1</v>
      </c>
      <c r="AM12">
        <v>0</v>
      </c>
      <c r="AN12" s="1"/>
      <c r="AO12">
        <v>0</v>
      </c>
      <c r="AP12">
        <v>1</v>
      </c>
      <c r="AQ12">
        <v>0</v>
      </c>
      <c r="AR12" s="1"/>
      <c r="AS12">
        <v>0</v>
      </c>
      <c r="AT12">
        <v>1</v>
      </c>
    </row>
    <row r="13" spans="1:46" x14ac:dyDescent="0.35">
      <c r="A13">
        <v>1</v>
      </c>
      <c r="B13" s="1" t="s">
        <v>6</v>
      </c>
      <c r="C13">
        <v>0</v>
      </c>
      <c r="D13">
        <v>0</v>
      </c>
      <c r="F13" t="s">
        <v>7</v>
      </c>
      <c r="J13">
        <v>4</v>
      </c>
      <c r="K13" s="1" t="s">
        <v>85</v>
      </c>
      <c r="L13" s="1" t="s">
        <v>86</v>
      </c>
      <c r="M13" s="1" t="s">
        <v>87</v>
      </c>
      <c r="N13" s="1" t="s">
        <v>88</v>
      </c>
      <c r="O13" s="1" t="s">
        <v>89</v>
      </c>
      <c r="P13" s="1" t="s">
        <v>67</v>
      </c>
      <c r="Q13" s="1" t="s">
        <v>68</v>
      </c>
      <c r="S13">
        <v>1</v>
      </c>
      <c r="T13">
        <v>0</v>
      </c>
      <c r="U13">
        <v>0</v>
      </c>
      <c r="V13">
        <v>3</v>
      </c>
      <c r="W13">
        <v>1</v>
      </c>
      <c r="X13" s="1" t="s">
        <v>90</v>
      </c>
      <c r="Y13">
        <v>16</v>
      </c>
      <c r="Z13">
        <v>1</v>
      </c>
      <c r="AA13">
        <v>2</v>
      </c>
      <c r="AB13" s="1" t="s">
        <v>91</v>
      </c>
      <c r="AC13">
        <v>22</v>
      </c>
      <c r="AD13">
        <v>-1</v>
      </c>
      <c r="AE13">
        <v>2</v>
      </c>
      <c r="AF13" s="1" t="s">
        <v>92</v>
      </c>
      <c r="AG13">
        <v>1</v>
      </c>
      <c r="AH13">
        <v>1</v>
      </c>
      <c r="AI13">
        <v>0</v>
      </c>
      <c r="AJ13" s="1"/>
      <c r="AK13">
        <v>0</v>
      </c>
      <c r="AL13">
        <v>1</v>
      </c>
      <c r="AM13">
        <v>0</v>
      </c>
      <c r="AN13" s="1"/>
      <c r="AO13">
        <v>0</v>
      </c>
      <c r="AP13">
        <v>1</v>
      </c>
      <c r="AQ13">
        <v>0</v>
      </c>
      <c r="AR13" s="1"/>
      <c r="AS13">
        <v>0</v>
      </c>
      <c r="AT13">
        <v>1</v>
      </c>
    </row>
    <row r="14" spans="1:46" x14ac:dyDescent="0.35">
      <c r="A14">
        <v>2</v>
      </c>
      <c r="B14" s="1" t="s">
        <v>115</v>
      </c>
      <c r="C14">
        <v>1</v>
      </c>
      <c r="D14">
        <v>12</v>
      </c>
      <c r="F14" t="s">
        <v>1</v>
      </c>
      <c r="G14" t="s">
        <v>13</v>
      </c>
      <c r="H14" t="s">
        <v>17</v>
      </c>
      <c r="J14">
        <v>5</v>
      </c>
      <c r="K14" s="1" t="s">
        <v>94</v>
      </c>
      <c r="L14" s="1" t="s">
        <v>95</v>
      </c>
      <c r="M14" s="1" t="s">
        <v>96</v>
      </c>
      <c r="N14" s="1" t="s">
        <v>97</v>
      </c>
      <c r="O14" s="1" t="s">
        <v>89</v>
      </c>
      <c r="P14" s="1" t="s">
        <v>67</v>
      </c>
      <c r="Q14" s="1" t="s">
        <v>68</v>
      </c>
      <c r="S14">
        <v>2</v>
      </c>
      <c r="T14">
        <v>0</v>
      </c>
      <c r="U14">
        <v>0</v>
      </c>
      <c r="V14">
        <v>3</v>
      </c>
      <c r="W14">
        <v>1</v>
      </c>
      <c r="X14" s="1" t="s">
        <v>98</v>
      </c>
      <c r="Y14">
        <v>15</v>
      </c>
      <c r="Z14">
        <v>1</v>
      </c>
      <c r="AA14">
        <v>2</v>
      </c>
      <c r="AB14" s="1" t="s">
        <v>99</v>
      </c>
      <c r="AC14">
        <v>21</v>
      </c>
      <c r="AD14">
        <v>-1</v>
      </c>
      <c r="AE14">
        <v>2</v>
      </c>
      <c r="AF14" s="1" t="s">
        <v>100</v>
      </c>
      <c r="AG14">
        <v>2</v>
      </c>
      <c r="AH14">
        <v>1</v>
      </c>
      <c r="AI14">
        <v>0</v>
      </c>
      <c r="AJ14" s="1"/>
      <c r="AK14">
        <v>0</v>
      </c>
      <c r="AL14">
        <v>1</v>
      </c>
      <c r="AM14">
        <v>0</v>
      </c>
      <c r="AN14" s="1"/>
      <c r="AO14">
        <v>0</v>
      </c>
      <c r="AP14">
        <v>1</v>
      </c>
      <c r="AQ14">
        <v>0</v>
      </c>
      <c r="AR14" s="1"/>
      <c r="AS14">
        <v>0</v>
      </c>
      <c r="AT14">
        <v>1</v>
      </c>
    </row>
    <row r="15" spans="1:46" x14ac:dyDescent="0.35">
      <c r="A15">
        <v>3</v>
      </c>
      <c r="B15" s="1" t="s">
        <v>138</v>
      </c>
      <c r="C15">
        <v>2</v>
      </c>
      <c r="D15">
        <v>19</v>
      </c>
      <c r="F15" s="1" t="s">
        <v>23</v>
      </c>
      <c r="G15" s="1" t="s">
        <v>21</v>
      </c>
      <c r="H15" s="1" t="s">
        <v>93</v>
      </c>
      <c r="J15">
        <v>6</v>
      </c>
      <c r="K15" s="1" t="s">
        <v>77</v>
      </c>
      <c r="L15" s="1" t="s">
        <v>101</v>
      </c>
      <c r="M15" s="1" t="s">
        <v>102</v>
      </c>
      <c r="N15" s="1" t="s">
        <v>103</v>
      </c>
      <c r="O15" s="1" t="s">
        <v>89</v>
      </c>
      <c r="P15" s="1" t="s">
        <v>67</v>
      </c>
      <c r="Q15" s="1" t="s">
        <v>68</v>
      </c>
      <c r="S15">
        <v>3</v>
      </c>
      <c r="T15">
        <v>0</v>
      </c>
      <c r="U15">
        <v>0</v>
      </c>
      <c r="V15">
        <v>3</v>
      </c>
      <c r="W15">
        <v>1</v>
      </c>
      <c r="X15" s="1" t="s">
        <v>104</v>
      </c>
      <c r="Y15">
        <v>14</v>
      </c>
      <c r="Z15">
        <v>1</v>
      </c>
      <c r="AA15">
        <v>2</v>
      </c>
      <c r="AB15" s="1" t="s">
        <v>105</v>
      </c>
      <c r="AC15">
        <v>20</v>
      </c>
      <c r="AD15">
        <v>-1</v>
      </c>
      <c r="AE15">
        <v>2</v>
      </c>
      <c r="AF15" s="1" t="s">
        <v>106</v>
      </c>
      <c r="AG15">
        <v>3</v>
      </c>
      <c r="AH15">
        <v>1</v>
      </c>
      <c r="AI15">
        <v>0</v>
      </c>
      <c r="AJ15" s="1"/>
      <c r="AK15">
        <v>0</v>
      </c>
      <c r="AL15">
        <v>1</v>
      </c>
      <c r="AM15">
        <v>0</v>
      </c>
      <c r="AN15" s="1"/>
      <c r="AO15">
        <v>0</v>
      </c>
      <c r="AP15">
        <v>1</v>
      </c>
      <c r="AQ15">
        <v>0</v>
      </c>
      <c r="AR15" s="1"/>
      <c r="AS15">
        <v>0</v>
      </c>
      <c r="AT15">
        <v>1</v>
      </c>
    </row>
    <row r="16" spans="1:46" x14ac:dyDescent="0.35">
      <c r="A16">
        <v>4</v>
      </c>
      <c r="B16" s="1" t="s">
        <v>109</v>
      </c>
      <c r="C16">
        <v>1</v>
      </c>
      <c r="D16">
        <v>13</v>
      </c>
      <c r="J16">
        <v>7</v>
      </c>
      <c r="K16" s="1" t="s">
        <v>70</v>
      </c>
      <c r="L16" s="1" t="s">
        <v>107</v>
      </c>
      <c r="M16" s="1" t="s">
        <v>107</v>
      </c>
      <c r="N16" s="1" t="s">
        <v>108</v>
      </c>
      <c r="O16" s="1" t="s">
        <v>89</v>
      </c>
      <c r="P16" s="1" t="s">
        <v>67</v>
      </c>
      <c r="Q16" s="1"/>
      <c r="S16">
        <v>2</v>
      </c>
      <c r="T16">
        <v>0</v>
      </c>
      <c r="U16">
        <v>0</v>
      </c>
      <c r="V16">
        <v>3</v>
      </c>
      <c r="W16">
        <v>1</v>
      </c>
      <c r="X16" s="1" t="s">
        <v>109</v>
      </c>
      <c r="Y16">
        <v>13</v>
      </c>
      <c r="Z16">
        <v>1</v>
      </c>
      <c r="AA16">
        <v>2</v>
      </c>
      <c r="AB16" s="1" t="s">
        <v>110</v>
      </c>
      <c r="AC16">
        <v>23</v>
      </c>
      <c r="AD16">
        <v>-1</v>
      </c>
      <c r="AE16">
        <v>2</v>
      </c>
      <c r="AF16" s="1" t="s">
        <v>111</v>
      </c>
      <c r="AG16">
        <v>5</v>
      </c>
      <c r="AH16">
        <v>1</v>
      </c>
      <c r="AI16">
        <v>0</v>
      </c>
      <c r="AJ16" s="1"/>
      <c r="AK16">
        <v>0</v>
      </c>
      <c r="AL16">
        <v>1</v>
      </c>
      <c r="AM16">
        <v>0</v>
      </c>
      <c r="AN16" s="1"/>
      <c r="AO16">
        <v>0</v>
      </c>
      <c r="AP16">
        <v>1</v>
      </c>
      <c r="AQ16">
        <v>0</v>
      </c>
      <c r="AR16" s="1"/>
      <c r="AS16">
        <v>0</v>
      </c>
      <c r="AT16">
        <v>1</v>
      </c>
    </row>
    <row r="17" spans="1:46" x14ac:dyDescent="0.35">
      <c r="A17">
        <v>5</v>
      </c>
      <c r="B17" s="1" t="s">
        <v>90</v>
      </c>
      <c r="C17">
        <v>1</v>
      </c>
      <c r="D17">
        <v>16</v>
      </c>
      <c r="J17">
        <v>8</v>
      </c>
      <c r="K17" s="1" t="s">
        <v>69</v>
      </c>
      <c r="L17" s="1" t="s">
        <v>112</v>
      </c>
      <c r="M17" s="1" t="s">
        <v>113</v>
      </c>
      <c r="N17" s="1" t="s">
        <v>114</v>
      </c>
      <c r="O17" s="1" t="s">
        <v>89</v>
      </c>
      <c r="P17" s="1" t="s">
        <v>67</v>
      </c>
      <c r="Q17" s="1"/>
      <c r="S17">
        <v>5</v>
      </c>
      <c r="T17">
        <v>0</v>
      </c>
      <c r="U17">
        <v>0</v>
      </c>
      <c r="V17">
        <v>3</v>
      </c>
      <c r="W17">
        <v>1</v>
      </c>
      <c r="X17" s="1" t="s">
        <v>115</v>
      </c>
      <c r="Y17">
        <v>12</v>
      </c>
      <c r="Z17">
        <v>1</v>
      </c>
      <c r="AA17">
        <v>2</v>
      </c>
      <c r="AB17" s="1" t="s">
        <v>116</v>
      </c>
      <c r="AC17">
        <v>24</v>
      </c>
      <c r="AD17">
        <v>-1</v>
      </c>
      <c r="AE17">
        <v>2</v>
      </c>
      <c r="AF17" s="1" t="s">
        <v>117</v>
      </c>
      <c r="AG17">
        <v>10</v>
      </c>
      <c r="AH17">
        <v>1</v>
      </c>
      <c r="AI17">
        <v>0</v>
      </c>
      <c r="AJ17" s="1"/>
      <c r="AK17">
        <v>0</v>
      </c>
      <c r="AL17">
        <v>1</v>
      </c>
      <c r="AM17">
        <v>0</v>
      </c>
      <c r="AN17" s="1"/>
      <c r="AO17">
        <v>0</v>
      </c>
      <c r="AP17">
        <v>1</v>
      </c>
      <c r="AQ17">
        <v>0</v>
      </c>
      <c r="AR17" s="1"/>
      <c r="AS17">
        <v>0</v>
      </c>
      <c r="AT17">
        <v>1</v>
      </c>
    </row>
    <row r="18" spans="1:46" x14ac:dyDescent="0.35">
      <c r="A18">
        <v>6</v>
      </c>
      <c r="B18" s="1" t="s">
        <v>98</v>
      </c>
      <c r="C18">
        <v>1</v>
      </c>
      <c r="D18">
        <v>15</v>
      </c>
      <c r="J18">
        <v>9</v>
      </c>
      <c r="K18" s="1" t="s">
        <v>118</v>
      </c>
      <c r="L18" s="1" t="s">
        <v>119</v>
      </c>
      <c r="M18" s="1" t="s">
        <v>120</v>
      </c>
      <c r="N18" s="1" t="s">
        <v>67</v>
      </c>
      <c r="O18" s="1" t="s">
        <v>89</v>
      </c>
      <c r="P18" s="1" t="s">
        <v>67</v>
      </c>
      <c r="Q18" s="1" t="s">
        <v>121</v>
      </c>
      <c r="S18">
        <v>1</v>
      </c>
      <c r="T18">
        <v>0</v>
      </c>
      <c r="U18">
        <v>0</v>
      </c>
      <c r="V18">
        <v>5</v>
      </c>
      <c r="W18">
        <v>1</v>
      </c>
      <c r="X18" s="1" t="s">
        <v>90</v>
      </c>
      <c r="Y18">
        <v>16</v>
      </c>
      <c r="Z18">
        <v>1</v>
      </c>
      <c r="AA18">
        <v>1</v>
      </c>
      <c r="AB18" s="1" t="s">
        <v>98</v>
      </c>
      <c r="AC18">
        <v>15</v>
      </c>
      <c r="AD18">
        <v>1</v>
      </c>
      <c r="AE18">
        <v>1</v>
      </c>
      <c r="AF18" s="1" t="s">
        <v>104</v>
      </c>
      <c r="AG18">
        <v>14</v>
      </c>
      <c r="AH18">
        <v>1</v>
      </c>
      <c r="AI18">
        <v>1</v>
      </c>
      <c r="AJ18" s="1" t="s">
        <v>115</v>
      </c>
      <c r="AK18">
        <v>12</v>
      </c>
      <c r="AL18">
        <v>1</v>
      </c>
      <c r="AM18">
        <v>1</v>
      </c>
      <c r="AN18" s="1" t="s">
        <v>109</v>
      </c>
      <c r="AO18">
        <v>13</v>
      </c>
      <c r="AP18">
        <v>1</v>
      </c>
      <c r="AQ18">
        <v>0</v>
      </c>
      <c r="AR18" s="1"/>
      <c r="AS18">
        <v>0</v>
      </c>
      <c r="AT18">
        <v>1</v>
      </c>
    </row>
    <row r="19" spans="1:46" x14ac:dyDescent="0.35">
      <c r="A19">
        <v>7</v>
      </c>
      <c r="B19" s="1" t="s">
        <v>104</v>
      </c>
      <c r="C19">
        <v>1</v>
      </c>
      <c r="D19">
        <v>14</v>
      </c>
      <c r="J19">
        <v>10</v>
      </c>
      <c r="K19" s="1" t="s">
        <v>123</v>
      </c>
      <c r="L19" s="1" t="s">
        <v>124</v>
      </c>
      <c r="M19" s="1" t="s">
        <v>125</v>
      </c>
      <c r="N19" s="1" t="s">
        <v>67</v>
      </c>
      <c r="O19" s="1" t="s">
        <v>126</v>
      </c>
      <c r="P19" s="1" t="s">
        <v>67</v>
      </c>
      <c r="Q19" s="1" t="s">
        <v>68</v>
      </c>
      <c r="S19">
        <v>1</v>
      </c>
      <c r="T19">
        <v>0</v>
      </c>
      <c r="U19">
        <v>0</v>
      </c>
      <c r="V19">
        <v>1</v>
      </c>
      <c r="W19">
        <v>1</v>
      </c>
      <c r="X19" s="1" t="s">
        <v>62</v>
      </c>
      <c r="Y19">
        <v>1</v>
      </c>
      <c r="Z19">
        <v>1</v>
      </c>
      <c r="AA19">
        <v>0</v>
      </c>
      <c r="AB19" s="1"/>
      <c r="AC19">
        <v>0</v>
      </c>
      <c r="AD19">
        <v>1</v>
      </c>
      <c r="AE19">
        <v>0</v>
      </c>
      <c r="AF19" s="1"/>
      <c r="AG19">
        <v>0</v>
      </c>
      <c r="AH19">
        <v>1</v>
      </c>
      <c r="AI19">
        <v>0</v>
      </c>
      <c r="AJ19" s="1"/>
      <c r="AK19">
        <v>0</v>
      </c>
      <c r="AL19">
        <v>1</v>
      </c>
      <c r="AM19">
        <v>0</v>
      </c>
      <c r="AN19" s="1"/>
      <c r="AO19">
        <v>0</v>
      </c>
      <c r="AP19">
        <v>1</v>
      </c>
      <c r="AQ19">
        <v>0</v>
      </c>
      <c r="AR19" s="1"/>
      <c r="AS19">
        <v>0</v>
      </c>
      <c r="AT19">
        <v>1</v>
      </c>
    </row>
    <row r="20" spans="1:46" x14ac:dyDescent="0.35">
      <c r="A20">
        <v>8</v>
      </c>
      <c r="B20" s="1" t="s">
        <v>118</v>
      </c>
      <c r="C20">
        <v>1</v>
      </c>
      <c r="D20">
        <v>9</v>
      </c>
      <c r="J20">
        <v>11</v>
      </c>
      <c r="K20" s="1" t="s">
        <v>127</v>
      </c>
      <c r="L20" s="1" t="s">
        <v>128</v>
      </c>
      <c r="M20" s="1" t="s">
        <v>129</v>
      </c>
      <c r="N20" s="1" t="s">
        <v>67</v>
      </c>
      <c r="O20" s="1" t="s">
        <v>89</v>
      </c>
      <c r="P20" s="1" t="s">
        <v>130</v>
      </c>
      <c r="Q20" s="1" t="s">
        <v>68</v>
      </c>
      <c r="S20">
        <v>1</v>
      </c>
      <c r="T20">
        <v>0</v>
      </c>
      <c r="U20">
        <v>0</v>
      </c>
      <c r="V20">
        <v>5</v>
      </c>
      <c r="W20">
        <v>2</v>
      </c>
      <c r="X20" s="1" t="s">
        <v>131</v>
      </c>
      <c r="Y20">
        <v>17</v>
      </c>
      <c r="Z20">
        <v>1</v>
      </c>
      <c r="AA20">
        <v>1</v>
      </c>
      <c r="AB20" s="1" t="s">
        <v>118</v>
      </c>
      <c r="AC20">
        <v>9</v>
      </c>
      <c r="AD20">
        <v>-1</v>
      </c>
      <c r="AE20">
        <v>2</v>
      </c>
      <c r="AF20" s="1" t="s">
        <v>132</v>
      </c>
      <c r="AG20">
        <v>4</v>
      </c>
      <c r="AH20">
        <v>0.75</v>
      </c>
      <c r="AI20">
        <v>2</v>
      </c>
      <c r="AJ20" s="1" t="s">
        <v>133</v>
      </c>
      <c r="AK20">
        <v>5</v>
      </c>
      <c r="AL20">
        <v>-0.85</v>
      </c>
      <c r="AM20">
        <v>2</v>
      </c>
      <c r="AN20" s="1" t="s">
        <v>117</v>
      </c>
      <c r="AO20">
        <v>10</v>
      </c>
      <c r="AP20">
        <v>-0.1</v>
      </c>
      <c r="AQ20">
        <v>0</v>
      </c>
      <c r="AR20" s="1"/>
      <c r="AS20">
        <v>0</v>
      </c>
      <c r="AT20">
        <v>1</v>
      </c>
    </row>
    <row r="21" spans="1:46" x14ac:dyDescent="0.35">
      <c r="A21">
        <v>9</v>
      </c>
      <c r="B21" s="1" t="s">
        <v>142</v>
      </c>
      <c r="C21">
        <v>2</v>
      </c>
      <c r="D21">
        <v>7</v>
      </c>
      <c r="J21">
        <v>12</v>
      </c>
      <c r="K21" s="1" t="s">
        <v>115</v>
      </c>
      <c r="L21" s="1" t="s">
        <v>112</v>
      </c>
      <c r="M21" s="1" t="s">
        <v>136</v>
      </c>
      <c r="N21" s="1" t="s">
        <v>67</v>
      </c>
      <c r="O21" s="1" t="s">
        <v>82</v>
      </c>
      <c r="P21" s="1" t="s">
        <v>67</v>
      </c>
      <c r="Q21" s="1" t="s">
        <v>83</v>
      </c>
      <c r="S21">
        <v>1</v>
      </c>
      <c r="T21">
        <v>0</v>
      </c>
      <c r="U21">
        <v>0</v>
      </c>
      <c r="V21">
        <v>1</v>
      </c>
      <c r="W21">
        <v>1</v>
      </c>
      <c r="X21" s="1" t="s">
        <v>69</v>
      </c>
      <c r="Y21">
        <v>8</v>
      </c>
      <c r="Z21">
        <v>1</v>
      </c>
      <c r="AA21">
        <v>0</v>
      </c>
      <c r="AB21" s="1"/>
      <c r="AC21">
        <v>0</v>
      </c>
      <c r="AD21">
        <v>1</v>
      </c>
      <c r="AE21">
        <v>0</v>
      </c>
      <c r="AF21" s="1"/>
      <c r="AG21">
        <v>0</v>
      </c>
      <c r="AH21">
        <v>1</v>
      </c>
      <c r="AI21">
        <v>0</v>
      </c>
      <c r="AJ21" s="1"/>
      <c r="AK21">
        <v>0</v>
      </c>
      <c r="AL21">
        <v>1</v>
      </c>
      <c r="AM21">
        <v>0</v>
      </c>
      <c r="AN21" s="1"/>
      <c r="AO21">
        <v>0</v>
      </c>
      <c r="AP21">
        <v>1</v>
      </c>
      <c r="AQ21">
        <v>0</v>
      </c>
      <c r="AR21" s="1"/>
      <c r="AS21">
        <v>0</v>
      </c>
      <c r="AT21">
        <v>1</v>
      </c>
    </row>
    <row r="22" spans="1:46" x14ac:dyDescent="0.35">
      <c r="A22">
        <v>10</v>
      </c>
      <c r="B22" s="1" t="s">
        <v>143</v>
      </c>
      <c r="C22">
        <v>2</v>
      </c>
      <c r="D22">
        <v>8</v>
      </c>
      <c r="J22">
        <v>13</v>
      </c>
      <c r="K22" s="1" t="s">
        <v>109</v>
      </c>
      <c r="L22" s="1" t="s">
        <v>107</v>
      </c>
      <c r="M22" s="1" t="s">
        <v>137</v>
      </c>
      <c r="N22" s="1" t="s">
        <v>67</v>
      </c>
      <c r="O22" s="1" t="s">
        <v>82</v>
      </c>
      <c r="P22" s="1" t="s">
        <v>67</v>
      </c>
      <c r="Q22" s="1" t="s">
        <v>83</v>
      </c>
      <c r="S22">
        <v>1</v>
      </c>
      <c r="T22">
        <v>0</v>
      </c>
      <c r="U22">
        <v>0</v>
      </c>
      <c r="V22">
        <v>2</v>
      </c>
      <c r="W22">
        <v>1</v>
      </c>
      <c r="X22" s="1" t="s">
        <v>70</v>
      </c>
      <c r="Y22">
        <v>7</v>
      </c>
      <c r="Z22">
        <v>1</v>
      </c>
      <c r="AA22">
        <v>2</v>
      </c>
      <c r="AB22" s="1" t="s">
        <v>138</v>
      </c>
      <c r="AC22">
        <v>19</v>
      </c>
      <c r="AD22">
        <v>-1</v>
      </c>
      <c r="AE22">
        <v>0</v>
      </c>
      <c r="AF22" s="1"/>
      <c r="AG22">
        <v>0</v>
      </c>
      <c r="AH22">
        <v>1</v>
      </c>
      <c r="AI22">
        <v>0</v>
      </c>
      <c r="AJ22" s="1"/>
      <c r="AK22">
        <v>0</v>
      </c>
      <c r="AL22">
        <v>1</v>
      </c>
      <c r="AM22">
        <v>0</v>
      </c>
      <c r="AN22" s="1"/>
      <c r="AO22">
        <v>0</v>
      </c>
      <c r="AP22">
        <v>1</v>
      </c>
      <c r="AQ22">
        <v>0</v>
      </c>
      <c r="AR22" s="1"/>
      <c r="AS22">
        <v>0</v>
      </c>
      <c r="AT22">
        <v>1</v>
      </c>
    </row>
    <row r="23" spans="1:46" x14ac:dyDescent="0.35">
      <c r="A23">
        <v>11</v>
      </c>
      <c r="B23" s="1" t="s">
        <v>145</v>
      </c>
      <c r="C23">
        <v>2</v>
      </c>
      <c r="D23">
        <v>9</v>
      </c>
      <c r="J23">
        <v>14</v>
      </c>
      <c r="K23" s="1" t="s">
        <v>104</v>
      </c>
      <c r="L23" s="1" t="s">
        <v>101</v>
      </c>
      <c r="M23" s="1" t="s">
        <v>139</v>
      </c>
      <c r="N23" s="1" t="s">
        <v>67</v>
      </c>
      <c r="O23" s="1" t="s">
        <v>82</v>
      </c>
      <c r="P23" s="1" t="s">
        <v>67</v>
      </c>
      <c r="Q23" s="1" t="s">
        <v>83</v>
      </c>
      <c r="S23">
        <v>1</v>
      </c>
      <c r="T23">
        <v>0</v>
      </c>
      <c r="U23">
        <v>0</v>
      </c>
      <c r="V23">
        <v>1</v>
      </c>
      <c r="W23">
        <v>1</v>
      </c>
      <c r="X23" s="1" t="s">
        <v>77</v>
      </c>
      <c r="Y23">
        <v>6</v>
      </c>
      <c r="Z23">
        <v>1</v>
      </c>
      <c r="AA23">
        <v>0</v>
      </c>
      <c r="AB23" s="1"/>
      <c r="AC23">
        <v>0</v>
      </c>
      <c r="AD23">
        <v>1</v>
      </c>
      <c r="AE23">
        <v>0</v>
      </c>
      <c r="AF23" s="1"/>
      <c r="AG23">
        <v>0</v>
      </c>
      <c r="AH23">
        <v>1</v>
      </c>
      <c r="AI23">
        <v>0</v>
      </c>
      <c r="AJ23" s="1"/>
      <c r="AK23">
        <v>0</v>
      </c>
      <c r="AL23">
        <v>1</v>
      </c>
      <c r="AM23">
        <v>0</v>
      </c>
      <c r="AN23" s="1"/>
      <c r="AO23">
        <v>0</v>
      </c>
      <c r="AP23">
        <v>1</v>
      </c>
      <c r="AQ23">
        <v>0</v>
      </c>
      <c r="AR23" s="1"/>
      <c r="AS23">
        <v>0</v>
      </c>
      <c r="AT23">
        <v>1</v>
      </c>
    </row>
    <row r="24" spans="1:46" x14ac:dyDescent="0.35">
      <c r="A24">
        <v>12</v>
      </c>
      <c r="B24" s="1" t="s">
        <v>117</v>
      </c>
      <c r="C24">
        <v>2</v>
      </c>
      <c r="D24">
        <v>10</v>
      </c>
      <c r="J24">
        <v>15</v>
      </c>
      <c r="K24" s="1" t="s">
        <v>98</v>
      </c>
      <c r="L24" s="1" t="s">
        <v>95</v>
      </c>
      <c r="M24" s="1" t="s">
        <v>140</v>
      </c>
      <c r="N24" s="1" t="s">
        <v>67</v>
      </c>
      <c r="O24" s="1" t="s">
        <v>82</v>
      </c>
      <c r="P24" s="1" t="s">
        <v>67</v>
      </c>
      <c r="Q24" s="1" t="s">
        <v>83</v>
      </c>
      <c r="S24">
        <v>1</v>
      </c>
      <c r="T24">
        <v>0</v>
      </c>
      <c r="U24">
        <v>0</v>
      </c>
      <c r="V24">
        <v>1</v>
      </c>
      <c r="W24">
        <v>1</v>
      </c>
      <c r="X24" s="1" t="s">
        <v>94</v>
      </c>
      <c r="Y24">
        <v>5</v>
      </c>
      <c r="Z24">
        <v>1</v>
      </c>
      <c r="AA24">
        <v>0</v>
      </c>
      <c r="AB24" s="1"/>
      <c r="AC24">
        <v>0</v>
      </c>
      <c r="AD24">
        <v>1</v>
      </c>
      <c r="AE24">
        <v>0</v>
      </c>
      <c r="AF24" s="1"/>
      <c r="AG24">
        <v>0</v>
      </c>
      <c r="AH24">
        <v>1</v>
      </c>
      <c r="AI24">
        <v>0</v>
      </c>
      <c r="AJ24" s="1"/>
      <c r="AK24">
        <v>0</v>
      </c>
      <c r="AL24">
        <v>1</v>
      </c>
      <c r="AM24">
        <v>0</v>
      </c>
      <c r="AN24" s="1"/>
      <c r="AO24">
        <v>0</v>
      </c>
      <c r="AP24">
        <v>1</v>
      </c>
      <c r="AQ24">
        <v>0</v>
      </c>
      <c r="AR24" s="1"/>
      <c r="AS24">
        <v>0</v>
      </c>
      <c r="AT24">
        <v>1</v>
      </c>
    </row>
    <row r="25" spans="1:46" x14ac:dyDescent="0.35">
      <c r="A25">
        <v>13</v>
      </c>
      <c r="B25" s="1" t="s">
        <v>111</v>
      </c>
      <c r="C25">
        <v>2</v>
      </c>
      <c r="D25">
        <v>5</v>
      </c>
      <c r="J25">
        <v>16</v>
      </c>
      <c r="K25" s="1" t="s">
        <v>90</v>
      </c>
      <c r="L25" s="1" t="s">
        <v>86</v>
      </c>
      <c r="M25" s="1" t="s">
        <v>141</v>
      </c>
      <c r="N25" s="1" t="s">
        <v>67</v>
      </c>
      <c r="O25" s="1" t="s">
        <v>82</v>
      </c>
      <c r="P25" s="1" t="s">
        <v>67</v>
      </c>
      <c r="Q25" s="1" t="s">
        <v>83</v>
      </c>
      <c r="S25">
        <v>1</v>
      </c>
      <c r="T25">
        <v>0</v>
      </c>
      <c r="U25">
        <v>0</v>
      </c>
      <c r="V25">
        <v>1</v>
      </c>
      <c r="W25">
        <v>1</v>
      </c>
      <c r="X25" s="1" t="s">
        <v>85</v>
      </c>
      <c r="Y25">
        <v>4</v>
      </c>
      <c r="Z25">
        <v>1</v>
      </c>
      <c r="AA25">
        <v>0</v>
      </c>
      <c r="AB25" s="1"/>
      <c r="AC25">
        <v>0</v>
      </c>
      <c r="AD25">
        <v>1</v>
      </c>
      <c r="AE25">
        <v>0</v>
      </c>
      <c r="AF25" s="1"/>
      <c r="AG25">
        <v>0</v>
      </c>
      <c r="AH25">
        <v>1</v>
      </c>
      <c r="AI25">
        <v>0</v>
      </c>
      <c r="AJ25" s="1"/>
      <c r="AK25">
        <v>0</v>
      </c>
      <c r="AL25">
        <v>1</v>
      </c>
      <c r="AM25">
        <v>0</v>
      </c>
      <c r="AN25" s="1"/>
      <c r="AO25">
        <v>0</v>
      </c>
      <c r="AP25">
        <v>1</v>
      </c>
      <c r="AQ25">
        <v>0</v>
      </c>
      <c r="AR25" s="1"/>
      <c r="AS25">
        <v>0</v>
      </c>
      <c r="AT25">
        <v>1</v>
      </c>
    </row>
    <row r="26" spans="1:46" x14ac:dyDescent="0.35">
      <c r="A26">
        <v>14</v>
      </c>
      <c r="B26" s="1" t="s">
        <v>132</v>
      </c>
      <c r="C26">
        <v>2</v>
      </c>
      <c r="D26">
        <v>4</v>
      </c>
    </row>
    <row r="27" spans="1:46" x14ac:dyDescent="0.35">
      <c r="A27">
        <v>15</v>
      </c>
      <c r="B27" s="1" t="s">
        <v>110</v>
      </c>
      <c r="C27">
        <v>2</v>
      </c>
      <c r="D27">
        <v>23</v>
      </c>
      <c r="F27" t="s">
        <v>146</v>
      </c>
      <c r="J27" t="s">
        <v>147</v>
      </c>
    </row>
    <row r="28" spans="1:46" x14ac:dyDescent="0.35">
      <c r="A28">
        <v>16</v>
      </c>
      <c r="B28" s="1" t="s">
        <v>70</v>
      </c>
      <c r="C28">
        <v>1</v>
      </c>
      <c r="D28">
        <v>7</v>
      </c>
      <c r="F28" t="s">
        <v>3</v>
      </c>
      <c r="G28" s="1" t="s">
        <v>26</v>
      </c>
      <c r="J28" t="s">
        <v>8</v>
      </c>
      <c r="K28" t="s">
        <v>9</v>
      </c>
      <c r="L28" t="s">
        <v>10</v>
      </c>
      <c r="M28" t="s">
        <v>11</v>
      </c>
      <c r="N28" t="s">
        <v>148</v>
      </c>
      <c r="O28" t="s">
        <v>149</v>
      </c>
      <c r="P28" t="s">
        <v>150</v>
      </c>
      <c r="Q28" t="s">
        <v>12</v>
      </c>
      <c r="R28" t="s">
        <v>151</v>
      </c>
      <c r="S28" t="s">
        <v>14</v>
      </c>
      <c r="T28" t="s">
        <v>36</v>
      </c>
      <c r="U28" t="s">
        <v>37</v>
      </c>
      <c r="V28" t="s">
        <v>38</v>
      </c>
      <c r="W28" t="s">
        <v>39</v>
      </c>
      <c r="X28" t="s">
        <v>40</v>
      </c>
      <c r="Y28" t="s">
        <v>41</v>
      </c>
      <c r="Z28" t="s">
        <v>42</v>
      </c>
      <c r="AA28" t="s">
        <v>43</v>
      </c>
      <c r="AB28" t="s">
        <v>44</v>
      </c>
      <c r="AC28" t="s">
        <v>45</v>
      </c>
      <c r="AD28" t="s">
        <v>46</v>
      </c>
      <c r="AE28" t="s">
        <v>47</v>
      </c>
      <c r="AF28" t="s">
        <v>48</v>
      </c>
      <c r="AG28" t="s">
        <v>49</v>
      </c>
      <c r="AH28" t="s">
        <v>50</v>
      </c>
      <c r="AI28" t="s">
        <v>51</v>
      </c>
      <c r="AJ28" t="s">
        <v>52</v>
      </c>
      <c r="AK28" t="s">
        <v>53</v>
      </c>
      <c r="AL28" t="s">
        <v>54</v>
      </c>
      <c r="AM28" t="s">
        <v>55</v>
      </c>
      <c r="AN28" t="s">
        <v>56</v>
      </c>
      <c r="AO28" t="s">
        <v>57</v>
      </c>
      <c r="AP28" t="s">
        <v>58</v>
      </c>
      <c r="AQ28" t="s">
        <v>59</v>
      </c>
      <c r="AR28" t="s">
        <v>60</v>
      </c>
      <c r="AS28" t="s">
        <v>61</v>
      </c>
    </row>
    <row r="29" spans="1:46" x14ac:dyDescent="0.35">
      <c r="A29">
        <v>17</v>
      </c>
      <c r="B29" s="1" t="s">
        <v>116</v>
      </c>
      <c r="C29">
        <v>2</v>
      </c>
      <c r="D29">
        <v>24</v>
      </c>
      <c r="F29" t="s">
        <v>31</v>
      </c>
      <c r="G29">
        <v>24</v>
      </c>
      <c r="J29">
        <v>1</v>
      </c>
      <c r="K29" s="1" t="s">
        <v>92</v>
      </c>
      <c r="L29" s="1" t="s">
        <v>86</v>
      </c>
      <c r="M29" s="1" t="s">
        <v>152</v>
      </c>
      <c r="N29" s="1" t="s">
        <v>153</v>
      </c>
      <c r="O29" s="1" t="s">
        <v>154</v>
      </c>
      <c r="P29" s="1" t="s">
        <v>155</v>
      </c>
      <c r="Q29" s="1" t="s">
        <v>156</v>
      </c>
      <c r="R29">
        <v>14</v>
      </c>
      <c r="S29">
        <v>1</v>
      </c>
      <c r="T29">
        <v>3</v>
      </c>
      <c r="U29">
        <v>0</v>
      </c>
      <c r="V29">
        <v>0</v>
      </c>
      <c r="W29" s="1"/>
      <c r="X29">
        <v>0</v>
      </c>
      <c r="Y29">
        <v>1</v>
      </c>
      <c r="Z29">
        <v>0</v>
      </c>
      <c r="AA29" s="1"/>
      <c r="AB29">
        <v>0</v>
      </c>
      <c r="AC29">
        <v>1</v>
      </c>
      <c r="AD29">
        <v>0</v>
      </c>
      <c r="AE29" s="1"/>
      <c r="AF29">
        <v>0</v>
      </c>
      <c r="AG29">
        <v>1</v>
      </c>
      <c r="AH29">
        <v>0</v>
      </c>
      <c r="AI29" s="1"/>
      <c r="AJ29">
        <v>0</v>
      </c>
      <c r="AK29">
        <v>1</v>
      </c>
      <c r="AL29">
        <v>0</v>
      </c>
      <c r="AM29" s="1"/>
      <c r="AN29">
        <v>0</v>
      </c>
      <c r="AO29">
        <v>1</v>
      </c>
      <c r="AP29">
        <v>0</v>
      </c>
      <c r="AQ29" s="1"/>
      <c r="AR29">
        <v>0</v>
      </c>
      <c r="AS29">
        <v>1</v>
      </c>
    </row>
    <row r="30" spans="1:46" x14ac:dyDescent="0.35">
      <c r="A30">
        <v>18</v>
      </c>
      <c r="B30" s="1" t="s">
        <v>69</v>
      </c>
      <c r="C30">
        <v>1</v>
      </c>
      <c r="D30">
        <v>8</v>
      </c>
      <c r="F30" t="s">
        <v>223</v>
      </c>
      <c r="G30">
        <v>19</v>
      </c>
      <c r="J30">
        <v>2</v>
      </c>
      <c r="K30" s="1" t="s">
        <v>100</v>
      </c>
      <c r="L30" s="1" t="s">
        <v>95</v>
      </c>
      <c r="M30" s="1" t="s">
        <v>96</v>
      </c>
      <c r="N30" s="1" t="s">
        <v>153</v>
      </c>
      <c r="O30" s="1" t="s">
        <v>154</v>
      </c>
      <c r="P30" s="1" t="s">
        <v>155</v>
      </c>
      <c r="Q30" s="1" t="s">
        <v>157</v>
      </c>
      <c r="R30">
        <v>14</v>
      </c>
      <c r="S30">
        <v>1</v>
      </c>
      <c r="T30">
        <v>0.4</v>
      </c>
      <c r="U30">
        <v>0</v>
      </c>
      <c r="V30">
        <v>0</v>
      </c>
      <c r="W30" s="1"/>
      <c r="X30">
        <v>0</v>
      </c>
      <c r="Y30">
        <v>1</v>
      </c>
      <c r="Z30">
        <v>0</v>
      </c>
      <c r="AA30" s="1"/>
      <c r="AB30">
        <v>0</v>
      </c>
      <c r="AC30">
        <v>1</v>
      </c>
      <c r="AD30">
        <v>0</v>
      </c>
      <c r="AE30" s="1"/>
      <c r="AF30">
        <v>0</v>
      </c>
      <c r="AG30">
        <v>1</v>
      </c>
      <c r="AH30">
        <v>0</v>
      </c>
      <c r="AI30" s="1"/>
      <c r="AJ30">
        <v>0</v>
      </c>
      <c r="AK30">
        <v>1</v>
      </c>
      <c r="AL30">
        <v>0</v>
      </c>
      <c r="AM30" s="1"/>
      <c r="AN30">
        <v>0</v>
      </c>
      <c r="AO30">
        <v>1</v>
      </c>
      <c r="AP30">
        <v>0</v>
      </c>
      <c r="AQ30" s="1"/>
      <c r="AR30">
        <v>0</v>
      </c>
      <c r="AS30">
        <v>1</v>
      </c>
    </row>
    <row r="31" spans="1:46" x14ac:dyDescent="0.35">
      <c r="A31">
        <v>19</v>
      </c>
      <c r="B31" s="1" t="s">
        <v>84</v>
      </c>
      <c r="C31">
        <v>2</v>
      </c>
      <c r="D31">
        <v>6</v>
      </c>
      <c r="F31" t="s">
        <v>224</v>
      </c>
      <c r="G31">
        <v>16</v>
      </c>
      <c r="J31">
        <v>3</v>
      </c>
      <c r="K31" s="1" t="s">
        <v>106</v>
      </c>
      <c r="L31" s="1" t="s">
        <v>101</v>
      </c>
      <c r="M31" s="1" t="s">
        <v>158</v>
      </c>
      <c r="N31" s="1" t="s">
        <v>153</v>
      </c>
      <c r="O31" s="1" t="s">
        <v>154</v>
      </c>
      <c r="P31" s="1" t="s">
        <v>155</v>
      </c>
      <c r="Q31" s="1" t="s">
        <v>159</v>
      </c>
      <c r="R31">
        <v>14</v>
      </c>
      <c r="S31">
        <v>1</v>
      </c>
      <c r="T31">
        <v>0.4</v>
      </c>
      <c r="U31">
        <v>0</v>
      </c>
      <c r="V31">
        <v>0</v>
      </c>
      <c r="W31" s="1"/>
      <c r="X31">
        <v>0</v>
      </c>
      <c r="Y31">
        <v>1</v>
      </c>
      <c r="Z31">
        <v>0</v>
      </c>
      <c r="AA31" s="1"/>
      <c r="AB31">
        <v>0</v>
      </c>
      <c r="AC31">
        <v>1</v>
      </c>
      <c r="AD31">
        <v>0</v>
      </c>
      <c r="AE31" s="1"/>
      <c r="AF31">
        <v>0</v>
      </c>
      <c r="AG31">
        <v>1</v>
      </c>
      <c r="AH31">
        <v>0</v>
      </c>
      <c r="AI31" s="1"/>
      <c r="AJ31">
        <v>0</v>
      </c>
      <c r="AK31">
        <v>1</v>
      </c>
      <c r="AL31">
        <v>0</v>
      </c>
      <c r="AM31" s="1"/>
      <c r="AN31">
        <v>0</v>
      </c>
      <c r="AO31">
        <v>1</v>
      </c>
      <c r="AP31">
        <v>0</v>
      </c>
      <c r="AQ31" s="1"/>
      <c r="AR31">
        <v>0</v>
      </c>
      <c r="AS31">
        <v>1</v>
      </c>
    </row>
    <row r="32" spans="1:46" x14ac:dyDescent="0.35">
      <c r="A32">
        <v>20</v>
      </c>
      <c r="B32" s="1" t="s">
        <v>78</v>
      </c>
      <c r="C32">
        <v>1</v>
      </c>
      <c r="D32">
        <v>3</v>
      </c>
      <c r="F32" t="s">
        <v>7</v>
      </c>
      <c r="J32">
        <v>4</v>
      </c>
      <c r="K32" s="1" t="s">
        <v>132</v>
      </c>
      <c r="L32" s="1" t="s">
        <v>160</v>
      </c>
      <c r="M32" s="1" t="s">
        <v>161</v>
      </c>
      <c r="N32" s="1" t="s">
        <v>153</v>
      </c>
      <c r="O32" s="1" t="s">
        <v>162</v>
      </c>
      <c r="P32" s="1" t="s">
        <v>163</v>
      </c>
      <c r="Q32" s="1" t="s">
        <v>164</v>
      </c>
      <c r="R32">
        <v>14</v>
      </c>
      <c r="S32">
        <v>1</v>
      </c>
      <c r="T32">
        <v>3</v>
      </c>
      <c r="U32">
        <v>0</v>
      </c>
      <c r="V32">
        <v>0</v>
      </c>
      <c r="W32" s="1"/>
      <c r="X32">
        <v>0</v>
      </c>
      <c r="Y32">
        <v>1</v>
      </c>
      <c r="Z32">
        <v>0</v>
      </c>
      <c r="AA32" s="1"/>
      <c r="AB32">
        <v>0</v>
      </c>
      <c r="AC32">
        <v>1</v>
      </c>
      <c r="AD32">
        <v>0</v>
      </c>
      <c r="AE32" s="1"/>
      <c r="AF32">
        <v>0</v>
      </c>
      <c r="AG32">
        <v>1</v>
      </c>
      <c r="AH32">
        <v>0</v>
      </c>
      <c r="AI32" s="1"/>
      <c r="AJ32">
        <v>0</v>
      </c>
      <c r="AK32">
        <v>1</v>
      </c>
      <c r="AL32">
        <v>0</v>
      </c>
      <c r="AM32" s="1"/>
      <c r="AN32">
        <v>0</v>
      </c>
      <c r="AO32">
        <v>1</v>
      </c>
      <c r="AP32">
        <v>0</v>
      </c>
      <c r="AQ32" s="1"/>
      <c r="AR32">
        <v>0</v>
      </c>
      <c r="AS32">
        <v>1</v>
      </c>
    </row>
    <row r="33" spans="1:45" x14ac:dyDescent="0.35">
      <c r="A33">
        <v>21</v>
      </c>
      <c r="B33" s="1" t="s">
        <v>131</v>
      </c>
      <c r="C33">
        <v>2</v>
      </c>
      <c r="D33">
        <v>17</v>
      </c>
      <c r="F33" t="s">
        <v>1</v>
      </c>
      <c r="G33" t="s">
        <v>13</v>
      </c>
      <c r="H33" t="s">
        <v>17</v>
      </c>
      <c r="J33">
        <v>5</v>
      </c>
      <c r="K33" s="1" t="s">
        <v>111</v>
      </c>
      <c r="L33" s="1" t="s">
        <v>107</v>
      </c>
      <c r="M33" s="1" t="s">
        <v>107</v>
      </c>
      <c r="N33" s="1" t="s">
        <v>153</v>
      </c>
      <c r="O33" s="1" t="s">
        <v>154</v>
      </c>
      <c r="P33" s="1" t="s">
        <v>163</v>
      </c>
      <c r="Q33" s="1" t="s">
        <v>166</v>
      </c>
      <c r="R33">
        <v>16</v>
      </c>
      <c r="S33">
        <v>0</v>
      </c>
      <c r="T33">
        <v>0</v>
      </c>
      <c r="U33">
        <v>0</v>
      </c>
      <c r="V33">
        <v>0</v>
      </c>
      <c r="W33" s="1"/>
      <c r="X33">
        <v>0</v>
      </c>
      <c r="Y33">
        <v>1</v>
      </c>
      <c r="Z33">
        <v>0</v>
      </c>
      <c r="AA33" s="1"/>
      <c r="AB33">
        <v>0</v>
      </c>
      <c r="AC33">
        <v>1</v>
      </c>
      <c r="AD33">
        <v>0</v>
      </c>
      <c r="AE33" s="1"/>
      <c r="AF33">
        <v>0</v>
      </c>
      <c r="AG33">
        <v>1</v>
      </c>
      <c r="AH33">
        <v>0</v>
      </c>
      <c r="AI33" s="1"/>
      <c r="AJ33">
        <v>0</v>
      </c>
      <c r="AK33">
        <v>1</v>
      </c>
      <c r="AL33">
        <v>0</v>
      </c>
      <c r="AM33" s="1"/>
      <c r="AN33">
        <v>0</v>
      </c>
      <c r="AO33">
        <v>1</v>
      </c>
      <c r="AP33">
        <v>0</v>
      </c>
      <c r="AQ33" s="1"/>
      <c r="AR33">
        <v>0</v>
      </c>
      <c r="AS33">
        <v>1</v>
      </c>
    </row>
    <row r="34" spans="1:45" x14ac:dyDescent="0.35">
      <c r="A34">
        <v>22</v>
      </c>
      <c r="B34" s="1" t="s">
        <v>127</v>
      </c>
      <c r="C34">
        <v>1</v>
      </c>
      <c r="D34">
        <v>11</v>
      </c>
      <c r="F34" s="1" t="s">
        <v>23</v>
      </c>
      <c r="G34" s="1" t="s">
        <v>21</v>
      </c>
      <c r="H34" s="1" t="s">
        <v>165</v>
      </c>
      <c r="J34">
        <v>6</v>
      </c>
      <c r="K34" s="1" t="s">
        <v>84</v>
      </c>
      <c r="L34" s="1" t="s">
        <v>167</v>
      </c>
      <c r="M34" s="1" t="s">
        <v>168</v>
      </c>
      <c r="N34" s="1" t="s">
        <v>153</v>
      </c>
      <c r="O34" s="1" t="s">
        <v>154</v>
      </c>
      <c r="P34" s="1" t="s">
        <v>163</v>
      </c>
      <c r="Q34" s="1" t="s">
        <v>169</v>
      </c>
      <c r="R34">
        <v>15</v>
      </c>
      <c r="S34">
        <v>0</v>
      </c>
      <c r="T34">
        <v>0</v>
      </c>
      <c r="U34">
        <v>0</v>
      </c>
      <c r="V34">
        <v>0</v>
      </c>
      <c r="W34" s="1"/>
      <c r="X34">
        <v>0</v>
      </c>
      <c r="Y34">
        <v>1</v>
      </c>
      <c r="Z34">
        <v>0</v>
      </c>
      <c r="AA34" s="1"/>
      <c r="AB34">
        <v>0</v>
      </c>
      <c r="AC34">
        <v>1</v>
      </c>
      <c r="AD34">
        <v>0</v>
      </c>
      <c r="AE34" s="1"/>
      <c r="AF34">
        <v>0</v>
      </c>
      <c r="AG34">
        <v>1</v>
      </c>
      <c r="AH34">
        <v>0</v>
      </c>
      <c r="AI34" s="1"/>
      <c r="AJ34">
        <v>0</v>
      </c>
      <c r="AK34">
        <v>1</v>
      </c>
      <c r="AL34">
        <v>0</v>
      </c>
      <c r="AM34" s="1"/>
      <c r="AN34">
        <v>0</v>
      </c>
      <c r="AO34">
        <v>1</v>
      </c>
      <c r="AP34">
        <v>0</v>
      </c>
      <c r="AQ34" s="1"/>
      <c r="AR34">
        <v>0</v>
      </c>
      <c r="AS34">
        <v>1</v>
      </c>
    </row>
    <row r="35" spans="1:45" x14ac:dyDescent="0.35">
      <c r="A35">
        <v>23</v>
      </c>
      <c r="B35" s="1" t="s">
        <v>106</v>
      </c>
      <c r="C35">
        <v>2</v>
      </c>
      <c r="D35">
        <v>3</v>
      </c>
      <c r="J35">
        <v>7</v>
      </c>
      <c r="K35" s="1" t="s">
        <v>142</v>
      </c>
      <c r="L35" s="1" t="s">
        <v>170</v>
      </c>
      <c r="M35" s="1" t="s">
        <v>171</v>
      </c>
      <c r="N35" s="1" t="s">
        <v>153</v>
      </c>
      <c r="O35" s="1" t="s">
        <v>154</v>
      </c>
      <c r="P35" s="1" t="s">
        <v>144</v>
      </c>
      <c r="Q35" s="1" t="s">
        <v>172</v>
      </c>
      <c r="R35">
        <v>1</v>
      </c>
      <c r="S35">
        <v>0</v>
      </c>
      <c r="T35">
        <v>0</v>
      </c>
      <c r="U35">
        <v>1</v>
      </c>
      <c r="V35">
        <v>1</v>
      </c>
      <c r="W35" s="1" t="s">
        <v>72</v>
      </c>
      <c r="X35">
        <v>4</v>
      </c>
      <c r="Y35">
        <v>1</v>
      </c>
      <c r="Z35">
        <v>0</v>
      </c>
      <c r="AA35" s="1"/>
      <c r="AB35">
        <v>0</v>
      </c>
      <c r="AC35">
        <v>1</v>
      </c>
      <c r="AD35">
        <v>0</v>
      </c>
      <c r="AE35" s="1"/>
      <c r="AF35">
        <v>0</v>
      </c>
      <c r="AG35">
        <v>1</v>
      </c>
      <c r="AH35">
        <v>0</v>
      </c>
      <c r="AI35" s="1"/>
      <c r="AJ35">
        <v>0</v>
      </c>
      <c r="AK35">
        <v>1</v>
      </c>
      <c r="AL35">
        <v>0</v>
      </c>
      <c r="AM35" s="1"/>
      <c r="AN35">
        <v>0</v>
      </c>
      <c r="AO35">
        <v>1</v>
      </c>
      <c r="AP35">
        <v>0</v>
      </c>
      <c r="AQ35" s="1"/>
      <c r="AR35">
        <v>0</v>
      </c>
      <c r="AS35">
        <v>1</v>
      </c>
    </row>
    <row r="36" spans="1:45" x14ac:dyDescent="0.35">
      <c r="A36">
        <v>24</v>
      </c>
      <c r="B36" s="1" t="s">
        <v>105</v>
      </c>
      <c r="C36">
        <v>2</v>
      </c>
      <c r="D36">
        <v>20</v>
      </c>
      <c r="J36">
        <v>8</v>
      </c>
      <c r="K36" s="1" t="s">
        <v>143</v>
      </c>
      <c r="L36" s="1" t="s">
        <v>173</v>
      </c>
      <c r="M36" s="1" t="s">
        <v>174</v>
      </c>
      <c r="N36" s="1" t="s">
        <v>153</v>
      </c>
      <c r="O36" s="1" t="s">
        <v>154</v>
      </c>
      <c r="P36" s="1" t="s">
        <v>144</v>
      </c>
      <c r="Q36" s="1" t="s">
        <v>175</v>
      </c>
      <c r="R36">
        <v>1</v>
      </c>
      <c r="S36">
        <v>0</v>
      </c>
      <c r="T36">
        <v>0</v>
      </c>
      <c r="U36">
        <v>1</v>
      </c>
      <c r="V36">
        <v>1</v>
      </c>
      <c r="W36" s="1" t="s">
        <v>94</v>
      </c>
      <c r="X36">
        <v>5</v>
      </c>
      <c r="Y36">
        <v>1</v>
      </c>
      <c r="Z36">
        <v>0</v>
      </c>
      <c r="AA36" s="1"/>
      <c r="AB36">
        <v>0</v>
      </c>
      <c r="AC36">
        <v>1</v>
      </c>
      <c r="AD36">
        <v>0</v>
      </c>
      <c r="AE36" s="1"/>
      <c r="AF36">
        <v>0</v>
      </c>
      <c r="AG36">
        <v>1</v>
      </c>
      <c r="AH36">
        <v>0</v>
      </c>
      <c r="AI36" s="1"/>
      <c r="AJ36">
        <v>0</v>
      </c>
      <c r="AK36">
        <v>1</v>
      </c>
      <c r="AL36">
        <v>0</v>
      </c>
      <c r="AM36" s="1"/>
      <c r="AN36">
        <v>0</v>
      </c>
      <c r="AO36">
        <v>1</v>
      </c>
      <c r="AP36">
        <v>0</v>
      </c>
      <c r="AQ36" s="1"/>
      <c r="AR36">
        <v>0</v>
      </c>
      <c r="AS36">
        <v>1</v>
      </c>
    </row>
    <row r="37" spans="1:45" x14ac:dyDescent="0.35">
      <c r="A37">
        <v>25</v>
      </c>
      <c r="B37" s="1" t="s">
        <v>77</v>
      </c>
      <c r="C37">
        <v>1</v>
      </c>
      <c r="D37">
        <v>6</v>
      </c>
      <c r="J37">
        <v>9</v>
      </c>
      <c r="K37" s="1" t="s">
        <v>145</v>
      </c>
      <c r="L37" s="1" t="s">
        <v>176</v>
      </c>
      <c r="M37" s="1" t="s">
        <v>174</v>
      </c>
      <c r="N37" s="1" t="s">
        <v>153</v>
      </c>
      <c r="O37" s="1" t="s">
        <v>154</v>
      </c>
      <c r="P37" s="1" t="s">
        <v>144</v>
      </c>
      <c r="Q37" s="1" t="s">
        <v>177</v>
      </c>
      <c r="R37">
        <v>1</v>
      </c>
      <c r="S37">
        <v>0</v>
      </c>
      <c r="T37">
        <v>0</v>
      </c>
      <c r="U37">
        <v>1</v>
      </c>
      <c r="V37">
        <v>1</v>
      </c>
      <c r="W37" s="1" t="s">
        <v>71</v>
      </c>
      <c r="X37">
        <v>6</v>
      </c>
      <c r="Y37">
        <v>1</v>
      </c>
      <c r="Z37">
        <v>0</v>
      </c>
      <c r="AA37" s="1"/>
      <c r="AB37">
        <v>0</v>
      </c>
      <c r="AC37">
        <v>1</v>
      </c>
      <c r="AD37">
        <v>0</v>
      </c>
      <c r="AE37" s="1"/>
      <c r="AF37">
        <v>0</v>
      </c>
      <c r="AG37">
        <v>1</v>
      </c>
      <c r="AH37">
        <v>0</v>
      </c>
      <c r="AI37" s="1"/>
      <c r="AJ37">
        <v>0</v>
      </c>
      <c r="AK37">
        <v>1</v>
      </c>
      <c r="AL37">
        <v>0</v>
      </c>
      <c r="AM37" s="1"/>
      <c r="AN37">
        <v>0</v>
      </c>
      <c r="AO37">
        <v>1</v>
      </c>
      <c r="AP37">
        <v>0</v>
      </c>
      <c r="AQ37" s="1"/>
      <c r="AR37">
        <v>0</v>
      </c>
      <c r="AS37">
        <v>1</v>
      </c>
    </row>
    <row r="38" spans="1:45" x14ac:dyDescent="0.35">
      <c r="A38">
        <v>26</v>
      </c>
      <c r="B38" s="1" t="s">
        <v>100</v>
      </c>
      <c r="C38">
        <v>2</v>
      </c>
      <c r="D38">
        <v>2</v>
      </c>
      <c r="J38">
        <v>10</v>
      </c>
      <c r="K38" s="1" t="s">
        <v>117</v>
      </c>
      <c r="L38" s="1" t="s">
        <v>112</v>
      </c>
      <c r="M38" s="1" t="s">
        <v>178</v>
      </c>
      <c r="N38" s="1" t="s">
        <v>179</v>
      </c>
      <c r="O38" s="1" t="s">
        <v>154</v>
      </c>
      <c r="P38" s="1" t="s">
        <v>89</v>
      </c>
      <c r="Q38" s="1" t="s">
        <v>180</v>
      </c>
      <c r="R38">
        <v>0</v>
      </c>
      <c r="S38">
        <v>0</v>
      </c>
      <c r="T38">
        <v>0</v>
      </c>
      <c r="U38">
        <v>3</v>
      </c>
      <c r="V38">
        <v>2</v>
      </c>
      <c r="W38" s="1" t="s">
        <v>142</v>
      </c>
      <c r="X38">
        <v>7</v>
      </c>
      <c r="Y38">
        <v>1</v>
      </c>
      <c r="Z38">
        <v>2</v>
      </c>
      <c r="AA38" s="1" t="s">
        <v>143</v>
      </c>
      <c r="AB38">
        <v>8</v>
      </c>
      <c r="AC38">
        <v>1</v>
      </c>
      <c r="AD38">
        <v>2</v>
      </c>
      <c r="AE38" s="1" t="s">
        <v>145</v>
      </c>
      <c r="AF38">
        <v>9</v>
      </c>
      <c r="AG38">
        <v>1</v>
      </c>
      <c r="AH38">
        <v>0</v>
      </c>
      <c r="AI38" s="1"/>
      <c r="AJ38">
        <v>0</v>
      </c>
      <c r="AK38">
        <v>1</v>
      </c>
      <c r="AL38">
        <v>0</v>
      </c>
      <c r="AM38" s="1"/>
      <c r="AN38">
        <v>0</v>
      </c>
      <c r="AO38">
        <v>1</v>
      </c>
      <c r="AP38">
        <v>0</v>
      </c>
      <c r="AQ38" s="1"/>
      <c r="AR38">
        <v>0</v>
      </c>
      <c r="AS38">
        <v>1</v>
      </c>
    </row>
    <row r="39" spans="1:45" x14ac:dyDescent="0.35">
      <c r="A39">
        <v>27</v>
      </c>
      <c r="B39" s="1" t="s">
        <v>99</v>
      </c>
      <c r="C39">
        <v>2</v>
      </c>
      <c r="D39">
        <v>21</v>
      </c>
      <c r="J39">
        <v>11</v>
      </c>
      <c r="K39" s="1" t="s">
        <v>181</v>
      </c>
      <c r="L39" s="1" t="s">
        <v>182</v>
      </c>
      <c r="M39" s="1" t="s">
        <v>183</v>
      </c>
      <c r="N39" s="1" t="s">
        <v>179</v>
      </c>
      <c r="O39" s="1" t="s">
        <v>154</v>
      </c>
      <c r="P39" s="1" t="s">
        <v>89</v>
      </c>
      <c r="Q39" s="1" t="s">
        <v>184</v>
      </c>
      <c r="R39">
        <v>0</v>
      </c>
      <c r="S39">
        <v>0</v>
      </c>
      <c r="T39">
        <v>0</v>
      </c>
      <c r="U39">
        <v>5</v>
      </c>
      <c r="V39">
        <v>2</v>
      </c>
      <c r="W39" s="1" t="s">
        <v>116</v>
      </c>
      <c r="X39">
        <v>24</v>
      </c>
      <c r="Y39">
        <v>1</v>
      </c>
      <c r="Z39">
        <v>2</v>
      </c>
      <c r="AA39" s="1" t="s">
        <v>110</v>
      </c>
      <c r="AB39">
        <v>23</v>
      </c>
      <c r="AC39">
        <v>1</v>
      </c>
      <c r="AD39">
        <v>2</v>
      </c>
      <c r="AE39" s="1" t="s">
        <v>105</v>
      </c>
      <c r="AF39">
        <v>20</v>
      </c>
      <c r="AG39">
        <v>1</v>
      </c>
      <c r="AH39">
        <v>2</v>
      </c>
      <c r="AI39" s="1" t="s">
        <v>91</v>
      </c>
      <c r="AJ39">
        <v>22</v>
      </c>
      <c r="AK39">
        <v>1</v>
      </c>
      <c r="AL39">
        <v>2</v>
      </c>
      <c r="AM39" s="1" t="s">
        <v>138</v>
      </c>
      <c r="AN39">
        <v>19</v>
      </c>
      <c r="AO39">
        <v>1</v>
      </c>
      <c r="AP39">
        <v>0</v>
      </c>
      <c r="AQ39" s="1"/>
      <c r="AR39">
        <v>0</v>
      </c>
      <c r="AS39">
        <v>1</v>
      </c>
    </row>
    <row r="40" spans="1:45" x14ac:dyDescent="0.35">
      <c r="A40">
        <v>28</v>
      </c>
      <c r="B40" s="1" t="s">
        <v>94</v>
      </c>
      <c r="C40">
        <v>1</v>
      </c>
      <c r="D40">
        <v>5</v>
      </c>
      <c r="J40">
        <v>12</v>
      </c>
      <c r="K40" s="1" t="s">
        <v>185</v>
      </c>
      <c r="L40" s="1" t="s">
        <v>186</v>
      </c>
      <c r="M40" s="1" t="s">
        <v>187</v>
      </c>
      <c r="N40" s="1" t="s">
        <v>179</v>
      </c>
      <c r="O40" s="1" t="s">
        <v>154</v>
      </c>
      <c r="P40" s="1" t="s">
        <v>89</v>
      </c>
      <c r="Q40" s="1" t="s">
        <v>188</v>
      </c>
      <c r="R40">
        <v>0</v>
      </c>
      <c r="S40">
        <v>0</v>
      </c>
      <c r="T40">
        <v>0</v>
      </c>
      <c r="U40">
        <v>3</v>
      </c>
      <c r="V40">
        <v>2</v>
      </c>
      <c r="W40" s="1" t="s">
        <v>189</v>
      </c>
      <c r="X40">
        <v>1</v>
      </c>
      <c r="Y40">
        <v>1</v>
      </c>
      <c r="Z40">
        <v>2</v>
      </c>
      <c r="AA40" s="1" t="s">
        <v>100</v>
      </c>
      <c r="AB40">
        <v>2</v>
      </c>
      <c r="AC40">
        <v>1</v>
      </c>
      <c r="AD40">
        <v>2</v>
      </c>
      <c r="AE40" s="1" t="s">
        <v>106</v>
      </c>
      <c r="AF40">
        <v>3</v>
      </c>
      <c r="AG40">
        <v>1</v>
      </c>
      <c r="AH40">
        <v>0</v>
      </c>
      <c r="AI40" s="1"/>
      <c r="AJ40">
        <v>0</v>
      </c>
      <c r="AK40">
        <v>1</v>
      </c>
      <c r="AL40">
        <v>0</v>
      </c>
      <c r="AM40" s="1"/>
      <c r="AN40">
        <v>0</v>
      </c>
      <c r="AO40">
        <v>1</v>
      </c>
      <c r="AP40">
        <v>0</v>
      </c>
      <c r="AQ40" s="1"/>
      <c r="AR40">
        <v>0</v>
      </c>
      <c r="AS40">
        <v>1</v>
      </c>
    </row>
    <row r="41" spans="1:45" x14ac:dyDescent="0.35">
      <c r="A41">
        <v>29</v>
      </c>
      <c r="B41" s="1" t="s">
        <v>92</v>
      </c>
      <c r="C41">
        <v>2</v>
      </c>
      <c r="D41">
        <v>1</v>
      </c>
      <c r="J41">
        <v>13</v>
      </c>
      <c r="K41" s="1" t="s">
        <v>190</v>
      </c>
      <c r="L41" s="1" t="s">
        <v>191</v>
      </c>
      <c r="M41" s="1" t="s">
        <v>192</v>
      </c>
      <c r="N41" s="1" t="s">
        <v>179</v>
      </c>
      <c r="O41" s="1" t="s">
        <v>154</v>
      </c>
      <c r="P41" s="1" t="s">
        <v>89</v>
      </c>
      <c r="Q41" s="1" t="s">
        <v>193</v>
      </c>
      <c r="R41">
        <v>0</v>
      </c>
      <c r="S41">
        <v>0</v>
      </c>
      <c r="T41">
        <v>0</v>
      </c>
      <c r="U41">
        <v>3</v>
      </c>
      <c r="V41">
        <v>2</v>
      </c>
      <c r="W41" s="1" t="s">
        <v>91</v>
      </c>
      <c r="X41">
        <v>22</v>
      </c>
      <c r="Y41">
        <v>1</v>
      </c>
      <c r="Z41">
        <v>2</v>
      </c>
      <c r="AA41" s="1" t="s">
        <v>99</v>
      </c>
      <c r="AB41">
        <v>21</v>
      </c>
      <c r="AC41">
        <v>1</v>
      </c>
      <c r="AD41">
        <v>2</v>
      </c>
      <c r="AE41" s="1" t="s">
        <v>105</v>
      </c>
      <c r="AF41">
        <v>20</v>
      </c>
      <c r="AG41">
        <v>1</v>
      </c>
      <c r="AH41">
        <v>0</v>
      </c>
      <c r="AI41" s="1"/>
      <c r="AJ41">
        <v>0</v>
      </c>
      <c r="AK41">
        <v>1</v>
      </c>
      <c r="AL41">
        <v>0</v>
      </c>
      <c r="AM41" s="1"/>
      <c r="AN41">
        <v>0</v>
      </c>
      <c r="AO41">
        <v>1</v>
      </c>
      <c r="AP41">
        <v>0</v>
      </c>
      <c r="AQ41" s="1"/>
      <c r="AR41">
        <v>0</v>
      </c>
      <c r="AS41">
        <v>1</v>
      </c>
    </row>
    <row r="42" spans="1:45" x14ac:dyDescent="0.35">
      <c r="A42">
        <v>30</v>
      </c>
      <c r="B42" s="1" t="s">
        <v>91</v>
      </c>
      <c r="C42">
        <v>2</v>
      </c>
      <c r="D42">
        <v>22</v>
      </c>
      <c r="J42">
        <v>14</v>
      </c>
      <c r="K42" s="1" t="s">
        <v>194</v>
      </c>
      <c r="L42" s="1" t="s">
        <v>195</v>
      </c>
      <c r="M42" s="1" t="s">
        <v>196</v>
      </c>
      <c r="N42" s="1" t="s">
        <v>179</v>
      </c>
      <c r="O42" s="1" t="s">
        <v>154</v>
      </c>
      <c r="P42" s="1" t="s">
        <v>89</v>
      </c>
      <c r="Q42" s="1" t="s">
        <v>197</v>
      </c>
      <c r="R42">
        <v>0</v>
      </c>
      <c r="S42">
        <v>0</v>
      </c>
      <c r="T42">
        <v>0</v>
      </c>
      <c r="U42">
        <v>2</v>
      </c>
      <c r="V42">
        <v>2</v>
      </c>
      <c r="W42" s="1" t="s">
        <v>117</v>
      </c>
      <c r="X42">
        <v>10</v>
      </c>
      <c r="Y42">
        <v>1</v>
      </c>
      <c r="Z42">
        <v>2</v>
      </c>
      <c r="AA42" s="1" t="s">
        <v>111</v>
      </c>
      <c r="AB42">
        <v>5</v>
      </c>
      <c r="AC42">
        <v>1</v>
      </c>
      <c r="AD42">
        <v>0</v>
      </c>
      <c r="AE42" s="1"/>
      <c r="AF42">
        <v>0</v>
      </c>
      <c r="AG42">
        <v>1</v>
      </c>
      <c r="AH42">
        <v>0</v>
      </c>
      <c r="AI42" s="1"/>
      <c r="AJ42">
        <v>0</v>
      </c>
      <c r="AK42">
        <v>1</v>
      </c>
      <c r="AL42">
        <v>0</v>
      </c>
      <c r="AM42" s="1"/>
      <c r="AN42">
        <v>0</v>
      </c>
      <c r="AO42">
        <v>1</v>
      </c>
      <c r="AP42">
        <v>0</v>
      </c>
      <c r="AQ42" s="1"/>
      <c r="AR42">
        <v>0</v>
      </c>
      <c r="AS42">
        <v>1</v>
      </c>
    </row>
    <row r="43" spans="1:45" x14ac:dyDescent="0.35">
      <c r="A43">
        <v>31</v>
      </c>
      <c r="B43" s="1" t="s">
        <v>85</v>
      </c>
      <c r="C43">
        <v>1</v>
      </c>
      <c r="D43">
        <v>4</v>
      </c>
      <c r="J43">
        <v>15</v>
      </c>
      <c r="K43" s="1" t="s">
        <v>198</v>
      </c>
      <c r="L43" s="1" t="s">
        <v>199</v>
      </c>
      <c r="M43" s="1" t="s">
        <v>200</v>
      </c>
      <c r="N43" s="1" t="s">
        <v>179</v>
      </c>
      <c r="O43" s="1" t="s">
        <v>154</v>
      </c>
      <c r="P43" s="1" t="s">
        <v>89</v>
      </c>
      <c r="Q43" s="1" t="s">
        <v>201</v>
      </c>
      <c r="R43">
        <v>0</v>
      </c>
      <c r="S43">
        <v>0</v>
      </c>
      <c r="T43">
        <v>0</v>
      </c>
      <c r="U43">
        <v>2</v>
      </c>
      <c r="V43">
        <v>2</v>
      </c>
      <c r="W43" s="1" t="s">
        <v>110</v>
      </c>
      <c r="X43">
        <v>23</v>
      </c>
      <c r="Y43">
        <v>1</v>
      </c>
      <c r="Z43">
        <v>2</v>
      </c>
      <c r="AA43" s="1" t="s">
        <v>138</v>
      </c>
      <c r="AB43">
        <v>19</v>
      </c>
      <c r="AC43">
        <v>-1</v>
      </c>
      <c r="AD43">
        <v>0</v>
      </c>
      <c r="AE43" s="1"/>
      <c r="AF43">
        <v>0</v>
      </c>
      <c r="AG43">
        <v>1</v>
      </c>
      <c r="AH43">
        <v>0</v>
      </c>
      <c r="AI43" s="1"/>
      <c r="AJ43">
        <v>0</v>
      </c>
      <c r="AK43">
        <v>1</v>
      </c>
      <c r="AL43">
        <v>0</v>
      </c>
      <c r="AM43" s="1"/>
      <c r="AN43">
        <v>0</v>
      </c>
      <c r="AO43">
        <v>1</v>
      </c>
      <c r="AP43">
        <v>0</v>
      </c>
      <c r="AQ43" s="1"/>
      <c r="AR43">
        <v>0</v>
      </c>
      <c r="AS43">
        <v>1</v>
      </c>
    </row>
    <row r="44" spans="1:45" x14ac:dyDescent="0.35">
      <c r="A44">
        <v>32</v>
      </c>
      <c r="B44" s="1" t="s">
        <v>73</v>
      </c>
      <c r="C44">
        <v>1</v>
      </c>
      <c r="D44">
        <v>2</v>
      </c>
      <c r="J44">
        <v>16</v>
      </c>
      <c r="K44" s="1" t="s">
        <v>202</v>
      </c>
      <c r="L44" s="1" t="s">
        <v>203</v>
      </c>
      <c r="M44" s="1" t="s">
        <v>204</v>
      </c>
      <c r="N44" s="1" t="s">
        <v>179</v>
      </c>
      <c r="O44" s="1" t="s">
        <v>154</v>
      </c>
      <c r="P44" s="1" t="s">
        <v>89</v>
      </c>
      <c r="Q44" s="1" t="s">
        <v>205</v>
      </c>
      <c r="R44">
        <v>0</v>
      </c>
      <c r="S44">
        <v>0</v>
      </c>
      <c r="T44">
        <v>0</v>
      </c>
      <c r="U44">
        <v>3</v>
      </c>
      <c r="V44">
        <v>2</v>
      </c>
      <c r="W44" s="1" t="s">
        <v>116</v>
      </c>
      <c r="X44">
        <v>24</v>
      </c>
      <c r="Y44">
        <v>1</v>
      </c>
      <c r="Z44">
        <v>2</v>
      </c>
      <c r="AA44" s="1" t="s">
        <v>110</v>
      </c>
      <c r="AB44">
        <v>23</v>
      </c>
      <c r="AC44">
        <v>1</v>
      </c>
      <c r="AD44">
        <v>2</v>
      </c>
      <c r="AE44" s="1" t="s">
        <v>138</v>
      </c>
      <c r="AF44">
        <v>19</v>
      </c>
      <c r="AG44">
        <v>-1</v>
      </c>
      <c r="AH44">
        <v>0</v>
      </c>
      <c r="AI44" s="1"/>
      <c r="AJ44">
        <v>0</v>
      </c>
      <c r="AK44">
        <v>1</v>
      </c>
      <c r="AL44">
        <v>0</v>
      </c>
      <c r="AM44" s="1"/>
      <c r="AN44">
        <v>0</v>
      </c>
      <c r="AO44">
        <v>1</v>
      </c>
      <c r="AP44">
        <v>0</v>
      </c>
      <c r="AQ44" s="1"/>
      <c r="AR44">
        <v>0</v>
      </c>
      <c r="AS44">
        <v>1</v>
      </c>
    </row>
    <row r="45" spans="1:45" x14ac:dyDescent="0.35">
      <c r="A45">
        <v>33</v>
      </c>
      <c r="B45" s="1" t="s">
        <v>62</v>
      </c>
      <c r="C45">
        <v>1</v>
      </c>
      <c r="D45">
        <v>1</v>
      </c>
      <c r="J45">
        <v>17</v>
      </c>
      <c r="K45" s="1" t="s">
        <v>131</v>
      </c>
      <c r="L45" s="1" t="s">
        <v>206</v>
      </c>
      <c r="M45" s="1" t="s">
        <v>207</v>
      </c>
      <c r="N45" s="1" t="s">
        <v>153</v>
      </c>
      <c r="O45" s="1" t="s">
        <v>154</v>
      </c>
      <c r="P45" s="1" t="s">
        <v>144</v>
      </c>
      <c r="Q45" s="1" t="s">
        <v>67</v>
      </c>
      <c r="R45">
        <v>0</v>
      </c>
      <c r="S45">
        <v>0</v>
      </c>
      <c r="T45">
        <v>0</v>
      </c>
      <c r="U45">
        <v>1</v>
      </c>
      <c r="V45">
        <v>1</v>
      </c>
      <c r="W45" s="1" t="s">
        <v>78</v>
      </c>
      <c r="X45">
        <v>3</v>
      </c>
      <c r="Y45">
        <v>1</v>
      </c>
      <c r="Z45">
        <v>0</v>
      </c>
      <c r="AA45" s="1"/>
      <c r="AB45">
        <v>0</v>
      </c>
      <c r="AC45">
        <v>1</v>
      </c>
      <c r="AD45">
        <v>0</v>
      </c>
      <c r="AE45" s="1"/>
      <c r="AF45">
        <v>0</v>
      </c>
      <c r="AG45">
        <v>1</v>
      </c>
      <c r="AH45">
        <v>0</v>
      </c>
      <c r="AI45" s="1"/>
      <c r="AJ45">
        <v>0</v>
      </c>
      <c r="AK45">
        <v>1</v>
      </c>
      <c r="AL45">
        <v>0</v>
      </c>
      <c r="AM45" s="1"/>
      <c r="AN45">
        <v>0</v>
      </c>
      <c r="AO45">
        <v>1</v>
      </c>
      <c r="AP45">
        <v>0</v>
      </c>
      <c r="AQ45" s="1"/>
      <c r="AR45">
        <v>0</v>
      </c>
      <c r="AS45">
        <v>1</v>
      </c>
    </row>
    <row r="46" spans="1:45" x14ac:dyDescent="0.35">
      <c r="A46">
        <v>34</v>
      </c>
      <c r="B46" s="1" t="s">
        <v>181</v>
      </c>
      <c r="C46">
        <v>2</v>
      </c>
      <c r="D46">
        <v>11</v>
      </c>
      <c r="J46">
        <v>18</v>
      </c>
      <c r="K46" s="1" t="s">
        <v>208</v>
      </c>
      <c r="L46" s="1" t="s">
        <v>209</v>
      </c>
      <c r="M46" s="1" t="s">
        <v>210</v>
      </c>
      <c r="N46" s="1" t="s">
        <v>179</v>
      </c>
      <c r="O46" s="1" t="s">
        <v>154</v>
      </c>
      <c r="P46" s="1" t="s">
        <v>89</v>
      </c>
      <c r="Q46" s="1" t="s">
        <v>164</v>
      </c>
      <c r="R46">
        <v>0</v>
      </c>
      <c r="S46">
        <v>0</v>
      </c>
      <c r="T46">
        <v>0</v>
      </c>
      <c r="U46">
        <v>2</v>
      </c>
      <c r="V46">
        <v>2</v>
      </c>
      <c r="W46" s="1" t="s">
        <v>181</v>
      </c>
      <c r="X46">
        <v>11</v>
      </c>
      <c r="Y46">
        <v>1</v>
      </c>
      <c r="Z46">
        <v>2</v>
      </c>
      <c r="AA46" s="1" t="s">
        <v>138</v>
      </c>
      <c r="AB46">
        <v>19</v>
      </c>
      <c r="AC46">
        <v>-1</v>
      </c>
      <c r="AD46">
        <v>0</v>
      </c>
      <c r="AE46" s="1"/>
      <c r="AF46">
        <v>0</v>
      </c>
      <c r="AG46">
        <v>1</v>
      </c>
      <c r="AH46">
        <v>0</v>
      </c>
      <c r="AI46" s="1"/>
      <c r="AJ46">
        <v>0</v>
      </c>
      <c r="AK46">
        <v>1</v>
      </c>
      <c r="AL46">
        <v>0</v>
      </c>
      <c r="AM46" s="1"/>
      <c r="AN46">
        <v>0</v>
      </c>
      <c r="AO46">
        <v>1</v>
      </c>
      <c r="AP46">
        <v>0</v>
      </c>
      <c r="AQ46" s="1"/>
      <c r="AR46">
        <v>0</v>
      </c>
      <c r="AS46">
        <v>1</v>
      </c>
    </row>
    <row r="47" spans="1:45" x14ac:dyDescent="0.35">
      <c r="A47">
        <v>35</v>
      </c>
      <c r="B47" s="1" t="s">
        <v>208</v>
      </c>
      <c r="C47">
        <v>2</v>
      </c>
      <c r="D47">
        <v>18</v>
      </c>
      <c r="J47">
        <v>19</v>
      </c>
      <c r="K47" s="1" t="s">
        <v>138</v>
      </c>
      <c r="L47" s="1" t="s">
        <v>211</v>
      </c>
      <c r="M47" s="1" t="s">
        <v>212</v>
      </c>
      <c r="N47" s="1" t="s">
        <v>153</v>
      </c>
      <c r="O47" s="1" t="s">
        <v>162</v>
      </c>
      <c r="P47" s="1" t="s">
        <v>144</v>
      </c>
      <c r="Q47" s="1" t="s">
        <v>67</v>
      </c>
      <c r="R47">
        <v>0</v>
      </c>
      <c r="S47">
        <v>0</v>
      </c>
      <c r="T47">
        <v>0</v>
      </c>
      <c r="U47">
        <v>2</v>
      </c>
      <c r="V47">
        <v>1</v>
      </c>
      <c r="W47" s="1" t="s">
        <v>213</v>
      </c>
      <c r="X47">
        <v>7</v>
      </c>
      <c r="Y47">
        <v>1</v>
      </c>
      <c r="Z47">
        <v>1</v>
      </c>
      <c r="AA47" s="1" t="s">
        <v>69</v>
      </c>
      <c r="AB47">
        <v>8</v>
      </c>
      <c r="AC47">
        <v>1</v>
      </c>
      <c r="AD47">
        <v>0</v>
      </c>
      <c r="AE47" s="1"/>
      <c r="AF47">
        <v>0</v>
      </c>
      <c r="AG47">
        <v>1</v>
      </c>
      <c r="AH47">
        <v>0</v>
      </c>
      <c r="AI47" s="1"/>
      <c r="AJ47">
        <v>0</v>
      </c>
      <c r="AK47">
        <v>1</v>
      </c>
      <c r="AL47">
        <v>0</v>
      </c>
      <c r="AM47" s="1"/>
      <c r="AN47">
        <v>0</v>
      </c>
      <c r="AO47">
        <v>1</v>
      </c>
      <c r="AP47">
        <v>0</v>
      </c>
      <c r="AQ47" s="1"/>
      <c r="AR47">
        <v>0</v>
      </c>
      <c r="AS47">
        <v>1</v>
      </c>
    </row>
    <row r="48" spans="1:45" x14ac:dyDescent="0.35">
      <c r="A48">
        <v>36</v>
      </c>
      <c r="B48" s="1" t="s">
        <v>185</v>
      </c>
      <c r="C48">
        <v>2</v>
      </c>
      <c r="D48">
        <v>12</v>
      </c>
      <c r="J48">
        <v>20</v>
      </c>
      <c r="K48" s="1" t="s">
        <v>105</v>
      </c>
      <c r="L48" s="1" t="s">
        <v>101</v>
      </c>
      <c r="M48" s="1" t="s">
        <v>214</v>
      </c>
      <c r="N48" s="1" t="s">
        <v>179</v>
      </c>
      <c r="O48" s="1" t="s">
        <v>215</v>
      </c>
      <c r="P48" s="1" t="s">
        <v>216</v>
      </c>
      <c r="Q48" s="1" t="s">
        <v>67</v>
      </c>
      <c r="R48">
        <v>0</v>
      </c>
      <c r="S48">
        <v>0</v>
      </c>
      <c r="T48">
        <v>0</v>
      </c>
      <c r="U48">
        <v>2</v>
      </c>
      <c r="V48">
        <v>1</v>
      </c>
      <c r="W48" s="1" t="s">
        <v>104</v>
      </c>
      <c r="X48">
        <v>14</v>
      </c>
      <c r="Y48">
        <v>1</v>
      </c>
      <c r="Z48">
        <v>2</v>
      </c>
      <c r="AA48" s="1" t="s">
        <v>217</v>
      </c>
      <c r="AB48">
        <v>3</v>
      </c>
      <c r="AC48">
        <v>1</v>
      </c>
      <c r="AD48">
        <v>0</v>
      </c>
      <c r="AE48" s="1"/>
      <c r="AF48">
        <v>0</v>
      </c>
      <c r="AG48">
        <v>1</v>
      </c>
      <c r="AH48">
        <v>0</v>
      </c>
      <c r="AI48" s="1"/>
      <c r="AJ48">
        <v>0</v>
      </c>
      <c r="AK48">
        <v>1</v>
      </c>
      <c r="AL48">
        <v>0</v>
      </c>
      <c r="AM48" s="1"/>
      <c r="AN48">
        <v>0</v>
      </c>
      <c r="AO48">
        <v>1</v>
      </c>
      <c r="AP48">
        <v>0</v>
      </c>
      <c r="AQ48" s="1"/>
      <c r="AR48">
        <v>0</v>
      </c>
      <c r="AS48">
        <v>1</v>
      </c>
    </row>
    <row r="49" spans="1:45" x14ac:dyDescent="0.35">
      <c r="A49">
        <v>37</v>
      </c>
      <c r="B49" s="1" t="s">
        <v>190</v>
      </c>
      <c r="C49">
        <v>2</v>
      </c>
      <c r="D49">
        <v>13</v>
      </c>
      <c r="J49">
        <v>21</v>
      </c>
      <c r="K49" s="1" t="s">
        <v>99</v>
      </c>
      <c r="L49" s="1" t="s">
        <v>95</v>
      </c>
      <c r="M49" s="1" t="s">
        <v>218</v>
      </c>
      <c r="N49" s="1" t="s">
        <v>179</v>
      </c>
      <c r="O49" s="1" t="s">
        <v>215</v>
      </c>
      <c r="P49" s="1" t="s">
        <v>216</v>
      </c>
      <c r="Q49" s="1" t="s">
        <v>67</v>
      </c>
      <c r="R49">
        <v>0</v>
      </c>
      <c r="S49">
        <v>0</v>
      </c>
      <c r="T49">
        <v>0</v>
      </c>
      <c r="U49">
        <v>2</v>
      </c>
      <c r="V49">
        <v>1</v>
      </c>
      <c r="W49" s="1" t="s">
        <v>98</v>
      </c>
      <c r="X49">
        <v>15</v>
      </c>
      <c r="Y49">
        <v>1</v>
      </c>
      <c r="Z49">
        <v>2</v>
      </c>
      <c r="AA49" s="1" t="s">
        <v>100</v>
      </c>
      <c r="AB49">
        <v>2</v>
      </c>
      <c r="AC49">
        <v>1</v>
      </c>
      <c r="AD49">
        <v>0</v>
      </c>
      <c r="AE49" s="1"/>
      <c r="AF49">
        <v>0</v>
      </c>
      <c r="AG49">
        <v>1</v>
      </c>
      <c r="AH49">
        <v>0</v>
      </c>
      <c r="AI49" s="1"/>
      <c r="AJ49">
        <v>0</v>
      </c>
      <c r="AK49">
        <v>1</v>
      </c>
      <c r="AL49">
        <v>0</v>
      </c>
      <c r="AM49" s="1"/>
      <c r="AN49">
        <v>0</v>
      </c>
      <c r="AO49">
        <v>1</v>
      </c>
      <c r="AP49">
        <v>0</v>
      </c>
      <c r="AQ49" s="1"/>
      <c r="AR49">
        <v>0</v>
      </c>
      <c r="AS49">
        <v>1</v>
      </c>
    </row>
    <row r="50" spans="1:45" x14ac:dyDescent="0.35">
      <c r="A50">
        <v>38</v>
      </c>
      <c r="B50" s="1" t="s">
        <v>194</v>
      </c>
      <c r="C50">
        <v>2</v>
      </c>
      <c r="D50">
        <v>14</v>
      </c>
      <c r="J50">
        <v>22</v>
      </c>
      <c r="K50" s="1" t="s">
        <v>91</v>
      </c>
      <c r="L50" s="1" t="s">
        <v>86</v>
      </c>
      <c r="M50" s="1" t="s">
        <v>219</v>
      </c>
      <c r="N50" s="1" t="s">
        <v>179</v>
      </c>
      <c r="O50" s="1" t="s">
        <v>215</v>
      </c>
      <c r="P50" s="1" t="s">
        <v>216</v>
      </c>
      <c r="Q50" s="1" t="s">
        <v>67</v>
      </c>
      <c r="R50">
        <v>0</v>
      </c>
      <c r="S50">
        <v>0</v>
      </c>
      <c r="T50">
        <v>0</v>
      </c>
      <c r="U50">
        <v>2</v>
      </c>
      <c r="V50">
        <v>1</v>
      </c>
      <c r="W50" s="1" t="s">
        <v>90</v>
      </c>
      <c r="X50">
        <v>16</v>
      </c>
      <c r="Y50">
        <v>1</v>
      </c>
      <c r="Z50">
        <v>2</v>
      </c>
      <c r="AA50" s="1" t="s">
        <v>189</v>
      </c>
      <c r="AB50">
        <v>1</v>
      </c>
      <c r="AC50">
        <v>1</v>
      </c>
      <c r="AD50">
        <v>0</v>
      </c>
      <c r="AE50" s="1"/>
      <c r="AF50">
        <v>0</v>
      </c>
      <c r="AG50">
        <v>1</v>
      </c>
      <c r="AH50">
        <v>0</v>
      </c>
      <c r="AI50" s="1"/>
      <c r="AJ50">
        <v>0</v>
      </c>
      <c r="AK50">
        <v>1</v>
      </c>
      <c r="AL50">
        <v>0</v>
      </c>
      <c r="AM50" s="1"/>
      <c r="AN50">
        <v>0</v>
      </c>
      <c r="AO50">
        <v>1</v>
      </c>
      <c r="AP50">
        <v>0</v>
      </c>
      <c r="AQ50" s="1"/>
      <c r="AR50">
        <v>0</v>
      </c>
      <c r="AS50">
        <v>1</v>
      </c>
    </row>
    <row r="51" spans="1:45" x14ac:dyDescent="0.35">
      <c r="A51">
        <v>39</v>
      </c>
      <c r="B51" s="1" t="s">
        <v>198</v>
      </c>
      <c r="C51">
        <v>2</v>
      </c>
      <c r="D51">
        <v>15</v>
      </c>
      <c r="J51">
        <v>23</v>
      </c>
      <c r="K51" s="1" t="s">
        <v>110</v>
      </c>
      <c r="L51" s="1" t="s">
        <v>107</v>
      </c>
      <c r="M51" s="1" t="s">
        <v>220</v>
      </c>
      <c r="N51" s="1" t="s">
        <v>179</v>
      </c>
      <c r="O51" s="1" t="s">
        <v>215</v>
      </c>
      <c r="P51" s="1" t="s">
        <v>216</v>
      </c>
      <c r="Q51" s="1" t="s">
        <v>67</v>
      </c>
      <c r="R51">
        <v>0</v>
      </c>
      <c r="S51">
        <v>0</v>
      </c>
      <c r="T51">
        <v>0</v>
      </c>
      <c r="U51">
        <v>2</v>
      </c>
      <c r="V51">
        <v>1</v>
      </c>
      <c r="W51" s="1" t="s">
        <v>109</v>
      </c>
      <c r="X51">
        <v>13</v>
      </c>
      <c r="Y51">
        <v>0.4</v>
      </c>
      <c r="Z51">
        <v>2</v>
      </c>
      <c r="AA51" s="1" t="s">
        <v>133</v>
      </c>
      <c r="AB51">
        <v>5</v>
      </c>
      <c r="AC51">
        <v>0.5</v>
      </c>
      <c r="AD51">
        <v>0</v>
      </c>
      <c r="AE51" s="1"/>
      <c r="AF51">
        <v>0</v>
      </c>
      <c r="AG51">
        <v>1</v>
      </c>
      <c r="AH51">
        <v>0</v>
      </c>
      <c r="AI51" s="1"/>
      <c r="AJ51">
        <v>0</v>
      </c>
      <c r="AK51">
        <v>1</v>
      </c>
      <c r="AL51">
        <v>0</v>
      </c>
      <c r="AM51" s="1"/>
      <c r="AN51">
        <v>0</v>
      </c>
      <c r="AO51">
        <v>1</v>
      </c>
      <c r="AP51">
        <v>0</v>
      </c>
      <c r="AQ51" s="1"/>
      <c r="AR51">
        <v>0</v>
      </c>
      <c r="AS51">
        <v>1</v>
      </c>
    </row>
    <row r="52" spans="1:45" x14ac:dyDescent="0.35">
      <c r="A52">
        <v>40</v>
      </c>
      <c r="B52" s="1" t="s">
        <v>202</v>
      </c>
      <c r="C52">
        <v>2</v>
      </c>
      <c r="D52">
        <v>16</v>
      </c>
      <c r="J52">
        <v>24</v>
      </c>
      <c r="K52" s="1" t="s">
        <v>116</v>
      </c>
      <c r="L52" s="1" t="s">
        <v>112</v>
      </c>
      <c r="M52" s="1" t="s">
        <v>221</v>
      </c>
      <c r="N52" s="1" t="s">
        <v>179</v>
      </c>
      <c r="O52" s="1" t="s">
        <v>215</v>
      </c>
      <c r="P52" s="1" t="s">
        <v>216</v>
      </c>
      <c r="Q52" s="1" t="s">
        <v>67</v>
      </c>
      <c r="R52">
        <v>0</v>
      </c>
      <c r="S52">
        <v>0</v>
      </c>
      <c r="T52">
        <v>0</v>
      </c>
      <c r="U52">
        <v>2</v>
      </c>
      <c r="V52">
        <v>1</v>
      </c>
      <c r="W52" s="1" t="s">
        <v>115</v>
      </c>
      <c r="X52">
        <v>12</v>
      </c>
      <c r="Y52">
        <v>0.4</v>
      </c>
      <c r="Z52">
        <v>2</v>
      </c>
      <c r="AA52" s="1" t="s">
        <v>117</v>
      </c>
      <c r="AB52">
        <v>10</v>
      </c>
      <c r="AC52">
        <v>0.5</v>
      </c>
      <c r="AD52">
        <v>0</v>
      </c>
      <c r="AE52" s="1"/>
      <c r="AF52">
        <v>0</v>
      </c>
      <c r="AG52">
        <v>1</v>
      </c>
      <c r="AH52">
        <v>0</v>
      </c>
      <c r="AI52" s="1"/>
      <c r="AJ52">
        <v>0</v>
      </c>
      <c r="AK52">
        <v>1</v>
      </c>
      <c r="AL52">
        <v>0</v>
      </c>
      <c r="AM52" s="1"/>
      <c r="AN52">
        <v>0</v>
      </c>
      <c r="AO52">
        <v>1</v>
      </c>
      <c r="AP52">
        <v>0</v>
      </c>
      <c r="AQ52" s="1"/>
      <c r="AR52">
        <v>0</v>
      </c>
      <c r="AS52">
        <v>1</v>
      </c>
    </row>
    <row r="53" spans="1:45" x14ac:dyDescent="0.35">
      <c r="A53">
        <v>41</v>
      </c>
      <c r="B53" s="1" t="s">
        <v>123</v>
      </c>
      <c r="C53">
        <v>1</v>
      </c>
      <c r="D53">
        <v>10</v>
      </c>
    </row>
  </sheetData>
  <pageMargins left="0.7" right="0.7" top="0.75" bottom="0.75" header="0.3" footer="0.3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6620C-5EA2-46F3-86CE-584124EB7B3A}">
  <sheetPr codeName="Sheet2"/>
  <dimension ref="A1:AA82"/>
  <sheetViews>
    <sheetView topLeftCell="A38" workbookViewId="0">
      <selection activeCell="A45" sqref="A45"/>
    </sheetView>
  </sheetViews>
  <sheetFormatPr defaultColWidth="2.08984375" defaultRowHeight="14.5" x14ac:dyDescent="0.35"/>
  <cols>
    <col min="1" max="1" width="15.6328125" bestFit="1" customWidth="1"/>
    <col min="2" max="2" width="13.90625" bestFit="1" customWidth="1"/>
    <col min="3" max="3" width="11.90625" bestFit="1" customWidth="1"/>
    <col min="4" max="4" width="34.26953125" bestFit="1" customWidth="1"/>
    <col min="5" max="5" width="9.08984375" bestFit="1" customWidth="1"/>
    <col min="6" max="6" width="14.36328125" bestFit="1" customWidth="1"/>
    <col min="7" max="7" width="14.08984375" bestFit="1" customWidth="1"/>
    <col min="8" max="10" width="1.81640625" bestFit="1" customWidth="1"/>
    <col min="11" max="11" width="10.90625" bestFit="1" customWidth="1"/>
    <col min="12" max="12" width="14" customWidth="1"/>
    <col min="13" max="13" width="7.81640625" bestFit="1" customWidth="1"/>
    <col min="14" max="14" width="4.90625" customWidth="1"/>
    <col min="15" max="15" width="6.81640625" customWidth="1"/>
    <col min="16" max="20" width="1.81640625" bestFit="1" customWidth="1"/>
    <col min="23" max="23" width="9" bestFit="1" customWidth="1"/>
    <col min="24" max="24" width="20.54296875" bestFit="1" customWidth="1"/>
    <col min="25" max="25" width="14.90625" bestFit="1" customWidth="1"/>
    <col min="26" max="27" width="4.26953125" bestFit="1" customWidth="1"/>
  </cols>
  <sheetData>
    <row r="1" spans="1:27" x14ac:dyDescent="0.35">
      <c r="A1" t="s">
        <v>225</v>
      </c>
      <c r="K1" t="s">
        <v>245</v>
      </c>
      <c r="X1" t="s">
        <v>320</v>
      </c>
    </row>
    <row r="2" spans="1:27" x14ac:dyDescent="0.35">
      <c r="A2" t="s">
        <v>1</v>
      </c>
      <c r="B2" s="1" t="s">
        <v>326</v>
      </c>
      <c r="K2" t="s">
        <v>3</v>
      </c>
      <c r="L2" s="1" t="s">
        <v>243</v>
      </c>
      <c r="X2" t="s">
        <v>318</v>
      </c>
    </row>
    <row r="3" spans="1:27" x14ac:dyDescent="0.35">
      <c r="A3" t="s">
        <v>3</v>
      </c>
      <c r="B3" s="1" t="s">
        <v>227</v>
      </c>
      <c r="K3" t="s">
        <v>31</v>
      </c>
      <c r="L3">
        <v>0</v>
      </c>
      <c r="X3" t="s">
        <v>319</v>
      </c>
    </row>
    <row r="4" spans="1:27" x14ac:dyDescent="0.35">
      <c r="A4" t="s">
        <v>7</v>
      </c>
      <c r="K4" t="s">
        <v>7</v>
      </c>
      <c r="X4">
        <v>1</v>
      </c>
      <c r="Y4" t="s">
        <v>321</v>
      </c>
    </row>
    <row r="5" spans="1:27" x14ac:dyDescent="0.35">
      <c r="A5" t="s">
        <v>1</v>
      </c>
      <c r="B5" t="s">
        <v>13</v>
      </c>
      <c r="C5" t="s">
        <v>17</v>
      </c>
      <c r="K5" t="s">
        <v>1</v>
      </c>
      <c r="L5" t="s">
        <v>13</v>
      </c>
      <c r="M5" t="s">
        <v>17</v>
      </c>
      <c r="X5">
        <v>-1</v>
      </c>
      <c r="Y5" t="s">
        <v>323</v>
      </c>
    </row>
    <row r="6" spans="1:27" x14ac:dyDescent="0.35">
      <c r="A6" s="1" t="s">
        <v>239</v>
      </c>
      <c r="B6" s="1" t="s">
        <v>21</v>
      </c>
      <c r="C6" s="1" t="s">
        <v>228</v>
      </c>
      <c r="K6" s="1" t="s">
        <v>255</v>
      </c>
      <c r="L6" s="1" t="s">
        <v>21</v>
      </c>
      <c r="M6" s="1" t="s">
        <v>256</v>
      </c>
      <c r="X6">
        <v>0.1</v>
      </c>
      <c r="Y6" t="s">
        <v>322</v>
      </c>
    </row>
    <row r="7" spans="1:27" x14ac:dyDescent="0.35">
      <c r="A7" s="1" t="s">
        <v>240</v>
      </c>
      <c r="B7" s="1" t="s">
        <v>21</v>
      </c>
      <c r="C7" s="1" t="s">
        <v>241</v>
      </c>
      <c r="X7">
        <v>1.1000000000000001</v>
      </c>
      <c r="Y7" t="s">
        <v>324</v>
      </c>
    </row>
    <row r="8" spans="1:27" x14ac:dyDescent="0.35">
      <c r="A8" s="1" t="s">
        <v>242</v>
      </c>
      <c r="B8" s="1" t="s">
        <v>21</v>
      </c>
      <c r="C8" s="1" t="s">
        <v>243</v>
      </c>
    </row>
    <row r="11" spans="1:27" x14ac:dyDescent="0.35">
      <c r="A11" t="s">
        <v>226</v>
      </c>
    </row>
    <row r="12" spans="1:27" x14ac:dyDescent="0.35">
      <c r="A12" t="s">
        <v>3</v>
      </c>
      <c r="B12" s="1" t="s">
        <v>228</v>
      </c>
      <c r="K12" t="s">
        <v>248</v>
      </c>
      <c r="Y12" t="str" cm="1">
        <f t="array" ref="Y12:AA12">TRANSPOSE(Table37[Mneumonic])</f>
        <v>Stg1</v>
      </c>
      <c r="Z12" t="str">
        <v>Stg2</v>
      </c>
      <c r="AA12" t="str">
        <v>Stg3</v>
      </c>
    </row>
    <row r="13" spans="1:27" x14ac:dyDescent="0.35">
      <c r="A13" t="s">
        <v>31</v>
      </c>
      <c r="B13">
        <v>1</v>
      </c>
      <c r="K13" s="6" t="s">
        <v>8</v>
      </c>
      <c r="L13" s="7" t="s">
        <v>250</v>
      </c>
      <c r="M13" s="7" t="s">
        <v>251</v>
      </c>
      <c r="N13" s="7" t="s">
        <v>252</v>
      </c>
      <c r="O13" s="8" t="s">
        <v>13</v>
      </c>
      <c r="W13">
        <f>A45</f>
        <v>1</v>
      </c>
      <c r="X13" s="1" t="str" cm="1">
        <f t="array" ref="X13:X26">Table33[Mneumonic]</f>
        <v>aaaNULL</v>
      </c>
      <c r="Y13">
        <v>1</v>
      </c>
    </row>
    <row r="14" spans="1:27" x14ac:dyDescent="0.35">
      <c r="A14" t="s">
        <v>7</v>
      </c>
      <c r="K14" s="2">
        <v>1</v>
      </c>
      <c r="L14" s="3">
        <v>4</v>
      </c>
      <c r="M14" s="3">
        <v>1</v>
      </c>
      <c r="N14" s="3">
        <v>2</v>
      </c>
      <c r="O14" s="9">
        <v>1</v>
      </c>
      <c r="W14">
        <f t="shared" ref="W14:W26" si="0">A46</f>
        <v>2</v>
      </c>
      <c r="X14" t="str">
        <v>abaD0</v>
      </c>
      <c r="Y14">
        <v>0.1</v>
      </c>
    </row>
    <row r="15" spans="1:27" x14ac:dyDescent="0.35">
      <c r="A15" t="s">
        <v>1</v>
      </c>
      <c r="B15" t="s">
        <v>13</v>
      </c>
      <c r="C15" t="s">
        <v>17</v>
      </c>
      <c r="K15">
        <v>2</v>
      </c>
      <c r="L15">
        <v>11</v>
      </c>
      <c r="M15">
        <v>1</v>
      </c>
      <c r="N15">
        <v>3</v>
      </c>
      <c r="O15" s="1">
        <v>1</v>
      </c>
      <c r="W15">
        <f t="shared" si="0"/>
        <v>3</v>
      </c>
      <c r="X15" t="str">
        <v>adaD0</v>
      </c>
      <c r="Z15">
        <v>0.1</v>
      </c>
    </row>
    <row r="16" spans="1:27" x14ac:dyDescent="0.35">
      <c r="A16" s="1" t="s">
        <v>23</v>
      </c>
      <c r="B16" s="1" t="s">
        <v>21</v>
      </c>
      <c r="C16" s="1" t="s">
        <v>313</v>
      </c>
      <c r="K16">
        <v>3</v>
      </c>
      <c r="L16">
        <v>10</v>
      </c>
      <c r="M16">
        <v>2</v>
      </c>
      <c r="N16">
        <v>3</v>
      </c>
      <c r="O16" s="1">
        <v>1</v>
      </c>
      <c r="W16">
        <f t="shared" si="0"/>
        <v>4</v>
      </c>
      <c r="X16" t="str">
        <v>adaD1</v>
      </c>
      <c r="Y16">
        <v>-1</v>
      </c>
      <c r="Z16">
        <v>1.1000000000000001</v>
      </c>
    </row>
    <row r="17" spans="1:27" x14ac:dyDescent="0.35">
      <c r="K17">
        <v>4</v>
      </c>
      <c r="L17">
        <v>11</v>
      </c>
      <c r="M17">
        <v>2</v>
      </c>
      <c r="N17">
        <v>3</v>
      </c>
      <c r="O17" s="1">
        <v>1</v>
      </c>
      <c r="W17">
        <f t="shared" si="0"/>
        <v>5</v>
      </c>
      <c r="X17" t="str">
        <v>adaD2</v>
      </c>
      <c r="Z17">
        <v>0.1</v>
      </c>
    </row>
    <row r="18" spans="1:27" x14ac:dyDescent="0.35">
      <c r="A18" t="s">
        <v>229</v>
      </c>
      <c r="W18">
        <f t="shared" si="0"/>
        <v>6</v>
      </c>
      <c r="X18" t="str">
        <v>adaD3</v>
      </c>
      <c r="Z18">
        <v>0.1</v>
      </c>
    </row>
    <row r="19" spans="1:27" x14ac:dyDescent="0.35">
      <c r="A19" t="s">
        <v>8</v>
      </c>
      <c r="B19" t="s">
        <v>9</v>
      </c>
      <c r="C19" t="s">
        <v>10</v>
      </c>
      <c r="D19" t="s">
        <v>11</v>
      </c>
      <c r="E19" t="s">
        <v>13</v>
      </c>
      <c r="F19" t="s">
        <v>286</v>
      </c>
      <c r="W19">
        <f t="shared" si="0"/>
        <v>7</v>
      </c>
      <c r="X19" t="str">
        <v>adaD4</v>
      </c>
      <c r="Z19">
        <v>0.1</v>
      </c>
    </row>
    <row r="20" spans="1:27" x14ac:dyDescent="0.35">
      <c r="A20">
        <v>1</v>
      </c>
      <c r="B20" s="1" t="s">
        <v>314</v>
      </c>
      <c r="C20" s="1" t="s">
        <v>280</v>
      </c>
      <c r="D20" s="1" t="s">
        <v>284</v>
      </c>
      <c r="E20" s="1" t="s">
        <v>311</v>
      </c>
      <c r="F20" s="1"/>
      <c r="W20">
        <f t="shared" si="0"/>
        <v>8</v>
      </c>
      <c r="X20" t="str">
        <v>adaD5</v>
      </c>
      <c r="Z20">
        <v>0.1</v>
      </c>
    </row>
    <row r="21" spans="1:27" x14ac:dyDescent="0.35">
      <c r="A21">
        <v>2</v>
      </c>
      <c r="B21" s="1" t="s">
        <v>315</v>
      </c>
      <c r="C21" s="5" t="s">
        <v>281</v>
      </c>
      <c r="D21" s="1" t="s">
        <v>283</v>
      </c>
      <c r="E21" s="1" t="s">
        <v>19</v>
      </c>
      <c r="F21" s="1"/>
      <c r="W21">
        <f t="shared" si="0"/>
        <v>9</v>
      </c>
      <c r="X21" t="str">
        <v>adaD6</v>
      </c>
      <c r="Z21">
        <v>0.1</v>
      </c>
    </row>
    <row r="22" spans="1:27" x14ac:dyDescent="0.35">
      <c r="A22">
        <v>3</v>
      </c>
      <c r="B22" s="1" t="s">
        <v>316</v>
      </c>
      <c r="C22" s="5" t="s">
        <v>282</v>
      </c>
      <c r="D22" s="1" t="s">
        <v>325</v>
      </c>
      <c r="E22" s="1" t="s">
        <v>312</v>
      </c>
      <c r="F22" s="1"/>
      <c r="W22">
        <f t="shared" si="0"/>
        <v>10</v>
      </c>
      <c r="X22" t="str">
        <v>ataDX</v>
      </c>
      <c r="Z22">
        <v>-1</v>
      </c>
      <c r="AA22">
        <v>1</v>
      </c>
    </row>
    <row r="23" spans="1:27" x14ac:dyDescent="0.35">
      <c r="C23" s="4"/>
      <c r="W23">
        <f t="shared" si="0"/>
        <v>11</v>
      </c>
      <c r="X23" t="str">
        <v>ataPE</v>
      </c>
      <c r="Y23">
        <v>-1</v>
      </c>
      <c r="Z23">
        <v>-1</v>
      </c>
      <c r="AA23">
        <v>1</v>
      </c>
    </row>
    <row r="24" spans="1:27" x14ac:dyDescent="0.35">
      <c r="W24">
        <f t="shared" si="0"/>
        <v>12</v>
      </c>
      <c r="X24" t="str">
        <v>auaSC</v>
      </c>
      <c r="AA24">
        <v>0.1</v>
      </c>
    </row>
    <row r="25" spans="1:27" x14ac:dyDescent="0.35">
      <c r="W25">
        <f t="shared" si="0"/>
        <v>13</v>
      </c>
      <c r="X25" t="str">
        <v>axaDF</v>
      </c>
      <c r="AA25">
        <v>-1</v>
      </c>
    </row>
    <row r="26" spans="1:27" x14ac:dyDescent="0.35">
      <c r="W26">
        <f t="shared" si="0"/>
        <v>14</v>
      </c>
      <c r="X26" t="str">
        <v>axaPF</v>
      </c>
      <c r="AA26">
        <v>-1</v>
      </c>
    </row>
    <row r="27" spans="1:27" x14ac:dyDescent="0.35">
      <c r="A27" t="s">
        <v>244</v>
      </c>
    </row>
    <row r="28" spans="1:27" x14ac:dyDescent="0.35">
      <c r="A28" t="s">
        <v>3</v>
      </c>
      <c r="B28" s="1" t="s">
        <v>241</v>
      </c>
    </row>
    <row r="29" spans="1:27" x14ac:dyDescent="0.35">
      <c r="A29" t="s">
        <v>31</v>
      </c>
      <c r="B29">
        <v>27</v>
      </c>
    </row>
    <row r="30" spans="1:27" x14ac:dyDescent="0.35">
      <c r="A30" t="s">
        <v>246</v>
      </c>
      <c r="B30">
        <v>2</v>
      </c>
      <c r="C30" t="s">
        <v>247</v>
      </c>
    </row>
    <row r="31" spans="1:27" x14ac:dyDescent="0.35">
      <c r="A31" t="s">
        <v>249</v>
      </c>
      <c r="B31">
        <v>24</v>
      </c>
    </row>
    <row r="32" spans="1:27" x14ac:dyDescent="0.35">
      <c r="A32" t="s">
        <v>253</v>
      </c>
      <c r="B32">
        <v>0</v>
      </c>
    </row>
    <row r="33" spans="1:7" x14ac:dyDescent="0.35">
      <c r="A33" t="s">
        <v>254</v>
      </c>
      <c r="B33">
        <v>0</v>
      </c>
    </row>
    <row r="34" spans="1:7" x14ac:dyDescent="0.35">
      <c r="A34" t="s">
        <v>257</v>
      </c>
      <c r="B34">
        <v>0</v>
      </c>
    </row>
    <row r="35" spans="1:7" x14ac:dyDescent="0.35">
      <c r="A35" t="s">
        <v>258</v>
      </c>
      <c r="B35">
        <v>0</v>
      </c>
    </row>
    <row r="36" spans="1:7" x14ac:dyDescent="0.35">
      <c r="A36" t="s">
        <v>7</v>
      </c>
    </row>
    <row r="37" spans="1:7" x14ac:dyDescent="0.35">
      <c r="A37" t="s">
        <v>1</v>
      </c>
      <c r="B37" t="s">
        <v>13</v>
      </c>
      <c r="C37" t="s">
        <v>17</v>
      </c>
    </row>
    <row r="38" spans="1:7" x14ac:dyDescent="0.35">
      <c r="A38" s="1" t="s">
        <v>23</v>
      </c>
      <c r="B38" s="1" t="s">
        <v>21</v>
      </c>
      <c r="C38" s="1" t="s">
        <v>259</v>
      </c>
    </row>
    <row r="39" spans="1:7" x14ac:dyDescent="0.35">
      <c r="A39" s="1" t="s">
        <v>260</v>
      </c>
      <c r="B39" s="1" t="s">
        <v>21</v>
      </c>
      <c r="C39" s="1" t="s">
        <v>261</v>
      </c>
    </row>
    <row r="40" spans="1:7" x14ac:dyDescent="0.35">
      <c r="A40" s="1" t="s">
        <v>262</v>
      </c>
      <c r="B40" s="1" t="s">
        <v>21</v>
      </c>
      <c r="C40" s="1" t="s">
        <v>263</v>
      </c>
    </row>
    <row r="43" spans="1:7" x14ac:dyDescent="0.35">
      <c r="A43" t="s">
        <v>230</v>
      </c>
    </row>
    <row r="44" spans="1:7" x14ac:dyDescent="0.35">
      <c r="A44" t="s">
        <v>8</v>
      </c>
      <c r="B44" t="s">
        <v>9</v>
      </c>
      <c r="C44" t="s">
        <v>10</v>
      </c>
      <c r="D44" t="s">
        <v>11</v>
      </c>
      <c r="E44" t="s">
        <v>265</v>
      </c>
      <c r="F44" t="s">
        <v>13</v>
      </c>
      <c r="G44" t="s">
        <v>266</v>
      </c>
    </row>
    <row r="45" spans="1:7" x14ac:dyDescent="0.35">
      <c r="A45">
        <v>1</v>
      </c>
      <c r="B45" s="1" t="s">
        <v>231</v>
      </c>
      <c r="C45" s="1" t="s">
        <v>267</v>
      </c>
      <c r="D45" s="1" t="s">
        <v>268</v>
      </c>
      <c r="E45" s="1" t="s">
        <v>269</v>
      </c>
      <c r="F45" s="1" t="s">
        <v>270</v>
      </c>
      <c r="G45">
        <v>0</v>
      </c>
    </row>
    <row r="46" spans="1:7" x14ac:dyDescent="0.35">
      <c r="A46">
        <v>2</v>
      </c>
      <c r="B46" s="1" t="s">
        <v>287</v>
      </c>
      <c r="C46" s="1" t="s">
        <v>273</v>
      </c>
      <c r="D46" s="1" t="s">
        <v>288</v>
      </c>
      <c r="E46" s="1" t="s">
        <v>271</v>
      </c>
      <c r="F46" s="1" t="s">
        <v>264</v>
      </c>
      <c r="G46">
        <v>0</v>
      </c>
    </row>
    <row r="47" spans="1:7" x14ac:dyDescent="0.35">
      <c r="A47">
        <v>3</v>
      </c>
      <c r="B47" s="1" t="s">
        <v>232</v>
      </c>
      <c r="C47" s="1" t="s">
        <v>273</v>
      </c>
      <c r="D47" s="1" t="s">
        <v>289</v>
      </c>
      <c r="E47" s="1" t="s">
        <v>271</v>
      </c>
      <c r="F47" s="1" t="s">
        <v>264</v>
      </c>
      <c r="G47">
        <v>0</v>
      </c>
    </row>
    <row r="48" spans="1:7" x14ac:dyDescent="0.35">
      <c r="A48">
        <v>4</v>
      </c>
      <c r="B48" s="1" t="s">
        <v>233</v>
      </c>
      <c r="C48" s="1" t="s">
        <v>274</v>
      </c>
      <c r="D48" s="1" t="s">
        <v>290</v>
      </c>
      <c r="E48" s="1" t="s">
        <v>271</v>
      </c>
      <c r="F48" s="1" t="s">
        <v>264</v>
      </c>
      <c r="G48">
        <v>1</v>
      </c>
    </row>
    <row r="49" spans="1:7" x14ac:dyDescent="0.35">
      <c r="A49">
        <v>5</v>
      </c>
      <c r="B49" s="1" t="s">
        <v>234</v>
      </c>
      <c r="C49" s="1" t="s">
        <v>275</v>
      </c>
      <c r="D49" s="1" t="s">
        <v>291</v>
      </c>
      <c r="E49" s="1" t="s">
        <v>271</v>
      </c>
      <c r="F49" s="1" t="s">
        <v>264</v>
      </c>
      <c r="G49">
        <v>2</v>
      </c>
    </row>
    <row r="50" spans="1:7" x14ac:dyDescent="0.35">
      <c r="A50">
        <v>6</v>
      </c>
      <c r="B50" s="1" t="s">
        <v>235</v>
      </c>
      <c r="C50" s="1" t="s">
        <v>276</v>
      </c>
      <c r="D50" s="1" t="s">
        <v>292</v>
      </c>
      <c r="E50" s="1" t="s">
        <v>271</v>
      </c>
      <c r="F50" s="1" t="s">
        <v>264</v>
      </c>
      <c r="G50">
        <v>3</v>
      </c>
    </row>
    <row r="51" spans="1:7" x14ac:dyDescent="0.35">
      <c r="A51">
        <v>7</v>
      </c>
      <c r="B51" s="1" t="s">
        <v>236</v>
      </c>
      <c r="C51" s="1" t="s">
        <v>277</v>
      </c>
      <c r="D51" s="1" t="s">
        <v>293</v>
      </c>
      <c r="E51" s="1" t="s">
        <v>271</v>
      </c>
      <c r="F51" s="1" t="s">
        <v>264</v>
      </c>
      <c r="G51">
        <v>4</v>
      </c>
    </row>
    <row r="52" spans="1:7" x14ac:dyDescent="0.35">
      <c r="A52">
        <v>8</v>
      </c>
      <c r="B52" s="1" t="s">
        <v>237</v>
      </c>
      <c r="C52" s="1" t="s">
        <v>278</v>
      </c>
      <c r="D52" s="1" t="s">
        <v>294</v>
      </c>
      <c r="E52" s="1" t="s">
        <v>271</v>
      </c>
      <c r="F52" s="1" t="s">
        <v>264</v>
      </c>
      <c r="G52">
        <v>5</v>
      </c>
    </row>
    <row r="53" spans="1:7" x14ac:dyDescent="0.35">
      <c r="A53">
        <v>9</v>
      </c>
      <c r="B53" s="1" t="s">
        <v>238</v>
      </c>
      <c r="C53" s="1" t="s">
        <v>279</v>
      </c>
      <c r="D53" s="1" t="s">
        <v>295</v>
      </c>
      <c r="E53" s="1" t="s">
        <v>271</v>
      </c>
      <c r="F53" s="1" t="s">
        <v>264</v>
      </c>
      <c r="G53">
        <v>6</v>
      </c>
    </row>
    <row r="54" spans="1:7" x14ac:dyDescent="0.35">
      <c r="A54">
        <v>10</v>
      </c>
      <c r="B54" s="1" t="s">
        <v>297</v>
      </c>
      <c r="C54" s="1" t="s">
        <v>296</v>
      </c>
      <c r="D54" s="1" t="s">
        <v>308</v>
      </c>
      <c r="E54" s="1" t="s">
        <v>271</v>
      </c>
      <c r="F54" s="1" t="s">
        <v>264</v>
      </c>
      <c r="G54">
        <v>1000</v>
      </c>
    </row>
    <row r="55" spans="1:7" x14ac:dyDescent="0.35">
      <c r="A55">
        <v>11</v>
      </c>
      <c r="B55" s="1" t="s">
        <v>305</v>
      </c>
      <c r="C55" s="1" t="s">
        <v>300</v>
      </c>
      <c r="D55" s="1" t="s">
        <v>306</v>
      </c>
      <c r="E55" s="1" t="s">
        <v>271</v>
      </c>
      <c r="F55" s="1" t="s">
        <v>264</v>
      </c>
      <c r="G55">
        <v>0</v>
      </c>
    </row>
    <row r="56" spans="1:7" x14ac:dyDescent="0.35">
      <c r="A56">
        <v>12</v>
      </c>
      <c r="B56" s="1" t="s">
        <v>298</v>
      </c>
      <c r="C56" s="1" t="s">
        <v>299</v>
      </c>
      <c r="D56" s="1" t="s">
        <v>307</v>
      </c>
      <c r="E56" s="1" t="s">
        <v>271</v>
      </c>
      <c r="F56" s="1" t="s">
        <v>264</v>
      </c>
      <c r="G56">
        <v>1000</v>
      </c>
    </row>
    <row r="57" spans="1:7" x14ac:dyDescent="0.35">
      <c r="A57">
        <v>13</v>
      </c>
      <c r="B57" s="1" t="s">
        <v>301</v>
      </c>
      <c r="C57" s="1" t="s">
        <v>302</v>
      </c>
      <c r="D57" s="1" t="s">
        <v>309</v>
      </c>
      <c r="E57" s="1" t="s">
        <v>271</v>
      </c>
      <c r="F57" s="1" t="s">
        <v>317</v>
      </c>
      <c r="G57">
        <v>1000</v>
      </c>
    </row>
    <row r="58" spans="1:7" x14ac:dyDescent="0.35">
      <c r="A58">
        <v>14</v>
      </c>
      <c r="B58" s="1" t="s">
        <v>303</v>
      </c>
      <c r="C58" s="1" t="s">
        <v>304</v>
      </c>
      <c r="D58" s="1" t="s">
        <v>310</v>
      </c>
      <c r="E58" s="1" t="s">
        <v>271</v>
      </c>
      <c r="F58" s="1" t="s">
        <v>317</v>
      </c>
      <c r="G58">
        <v>0</v>
      </c>
    </row>
    <row r="81" spans="1:20" x14ac:dyDescent="0.35">
      <c r="A81" t="s">
        <v>222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 x14ac:dyDescent="0.3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</sheetData>
  <pageMargins left="0.7" right="0.7" top="0.75" bottom="0.75" header="0.3" footer="0.3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8CA63-6F66-4122-8587-AF7244E13940}">
  <sheetPr codeName="Sheet3"/>
  <dimension ref="A1:AC32"/>
  <sheetViews>
    <sheetView tabSelected="1" workbookViewId="0">
      <selection activeCell="A34" sqref="A34"/>
    </sheetView>
  </sheetViews>
  <sheetFormatPr defaultRowHeight="14.5" x14ac:dyDescent="0.35"/>
  <cols>
    <col min="1" max="1" width="11.81640625" bestFit="1" customWidth="1"/>
    <col min="2" max="7" width="10.26953125" customWidth="1"/>
    <col min="8" max="8" width="7.453125" bestFit="1" customWidth="1"/>
    <col min="9" max="17" width="10.26953125" customWidth="1"/>
    <col min="18" max="18" width="11.26953125" customWidth="1"/>
    <col min="19" max="19" width="6.7265625" bestFit="1" customWidth="1"/>
    <col min="20" max="28" width="10.26953125" customWidth="1"/>
    <col min="29" max="29" width="11.26953125" customWidth="1"/>
  </cols>
  <sheetData>
    <row r="1" spans="1:25" x14ac:dyDescent="0.35">
      <c r="A1" t="s">
        <v>327</v>
      </c>
    </row>
    <row r="2" spans="1:25" x14ac:dyDescent="0.35">
      <c r="A2" t="s">
        <v>1</v>
      </c>
      <c r="B2" s="1" t="s">
        <v>336</v>
      </c>
    </row>
    <row r="3" spans="1:25" x14ac:dyDescent="0.35">
      <c r="A3" t="s">
        <v>328</v>
      </c>
      <c r="B3">
        <f>COUNT(Table108[Position])</f>
        <v>14</v>
      </c>
    </row>
    <row r="4" spans="1:25" x14ac:dyDescent="0.35">
      <c r="A4" t="s">
        <v>329</v>
      </c>
      <c r="B4">
        <v>0</v>
      </c>
    </row>
    <row r="5" spans="1:25" x14ac:dyDescent="0.35">
      <c r="A5" t="s">
        <v>330</v>
      </c>
      <c r="B5">
        <v>0</v>
      </c>
      <c r="C5" t="s">
        <v>331</v>
      </c>
    </row>
    <row r="6" spans="1:25" x14ac:dyDescent="0.35">
      <c r="A6" t="s">
        <v>332</v>
      </c>
    </row>
    <row r="8" spans="1:25" x14ac:dyDescent="0.35">
      <c r="A8" t="s">
        <v>333</v>
      </c>
    </row>
    <row r="10" spans="1:25" x14ac:dyDescent="0.35">
      <c r="A10" t="s">
        <v>335</v>
      </c>
      <c r="L10" t="str" cm="1">
        <f t="array" ref="L10:Y10">TRANSPOSE(Table108[StateLabel])</f>
        <v>aaaNULL</v>
      </c>
      <c r="M10" t="str">
        <v>abaD0</v>
      </c>
      <c r="N10" t="str">
        <v>adaD0</v>
      </c>
      <c r="O10" t="str">
        <v>adaD1</v>
      </c>
      <c r="P10" t="str">
        <v>adaD2</v>
      </c>
      <c r="Q10" t="str">
        <v>adaD3</v>
      </c>
      <c r="R10" t="str">
        <v>adaD4</v>
      </c>
      <c r="S10" t="str">
        <v>adaD5</v>
      </c>
      <c r="T10" t="str">
        <v>adaD6</v>
      </c>
      <c r="U10" t="str">
        <v>ataDX</v>
      </c>
      <c r="V10" t="str">
        <v>ataPE</v>
      </c>
      <c r="W10" t="str">
        <v>auaSC</v>
      </c>
      <c r="X10" t="str">
        <v>axaDF</v>
      </c>
      <c r="Y10" t="str">
        <v>axaPF</v>
      </c>
    </row>
    <row r="11" spans="1:25" x14ac:dyDescent="0.35">
      <c r="A11" t="s">
        <v>334</v>
      </c>
      <c r="B11" t="s">
        <v>8</v>
      </c>
      <c r="G11" t="s">
        <v>341</v>
      </c>
      <c r="H11" t="s">
        <v>340</v>
      </c>
      <c r="I11" t="s">
        <v>339</v>
      </c>
      <c r="J11" t="s">
        <v>338</v>
      </c>
      <c r="K11" t="s">
        <v>337</v>
      </c>
      <c r="L11" t="s">
        <v>342</v>
      </c>
      <c r="M11" t="s">
        <v>343</v>
      </c>
      <c r="N11" t="s">
        <v>344</v>
      </c>
      <c r="O11" t="s">
        <v>345</v>
      </c>
      <c r="P11" t="s">
        <v>346</v>
      </c>
      <c r="Q11" t="s">
        <v>347</v>
      </c>
      <c r="R11" t="s">
        <v>348</v>
      </c>
      <c r="S11" t="s">
        <v>349</v>
      </c>
      <c r="T11" t="s">
        <v>350</v>
      </c>
      <c r="U11" t="s">
        <v>351</v>
      </c>
      <c r="V11" t="s">
        <v>352</v>
      </c>
      <c r="W11" t="s">
        <v>353</v>
      </c>
      <c r="X11" t="s">
        <v>354</v>
      </c>
      <c r="Y11" t="s">
        <v>355</v>
      </c>
    </row>
    <row r="12" spans="1:25" x14ac:dyDescent="0.35">
      <c r="A12" s="1" t="str">
        <f>StatesAndStagesSpec!B45</f>
        <v>aaaNULL</v>
      </c>
      <c r="B12">
        <f>StatesAndStagesSpec!A45</f>
        <v>1</v>
      </c>
      <c r="F12" s="1" t="str" cm="1">
        <f t="array" ref="F12:F25">Table108[StateLabel]</f>
        <v>aaaNULL</v>
      </c>
      <c r="K12">
        <f>Table108[[#This Row],[Position]]</f>
        <v>1</v>
      </c>
    </row>
    <row r="13" spans="1:25" x14ac:dyDescent="0.35">
      <c r="A13" s="1" t="str">
        <f>StatesAndStagesSpec!B46</f>
        <v>abaD0</v>
      </c>
      <c r="B13">
        <f>StatesAndStagesSpec!A46</f>
        <v>2</v>
      </c>
      <c r="F13" t="str">
        <v>abaD0</v>
      </c>
      <c r="K13">
        <f>Table108[[#This Row],[Position]]</f>
        <v>2</v>
      </c>
    </row>
    <row r="14" spans="1:25" x14ac:dyDescent="0.35">
      <c r="A14" s="1" t="str">
        <f>StatesAndStagesSpec!B47</f>
        <v>adaD0</v>
      </c>
      <c r="B14">
        <f>StatesAndStagesSpec!A47</f>
        <v>3</v>
      </c>
      <c r="F14" t="str">
        <v>adaD0</v>
      </c>
      <c r="K14">
        <f>Table108[[#This Row],[Position]]</f>
        <v>3</v>
      </c>
    </row>
    <row r="15" spans="1:25" x14ac:dyDescent="0.35">
      <c r="A15" s="1" t="str">
        <f>StatesAndStagesSpec!B48</f>
        <v>adaD1</v>
      </c>
      <c r="B15">
        <f>StatesAndStagesSpec!A48</f>
        <v>4</v>
      </c>
      <c r="F15" t="str">
        <v>adaD1</v>
      </c>
      <c r="K15">
        <f>Table108[[#This Row],[Position]]</f>
        <v>4</v>
      </c>
    </row>
    <row r="16" spans="1:25" x14ac:dyDescent="0.35">
      <c r="A16" s="1" t="str">
        <f>StatesAndStagesSpec!B49</f>
        <v>adaD2</v>
      </c>
      <c r="B16">
        <f>StatesAndStagesSpec!A49</f>
        <v>5</v>
      </c>
      <c r="F16" t="str">
        <v>adaD2</v>
      </c>
      <c r="K16">
        <f>Table108[[#This Row],[Position]]</f>
        <v>5</v>
      </c>
    </row>
    <row r="17" spans="1:29" x14ac:dyDescent="0.35">
      <c r="A17" s="1" t="str">
        <f>StatesAndStagesSpec!B50</f>
        <v>adaD3</v>
      </c>
      <c r="B17">
        <f>StatesAndStagesSpec!A50</f>
        <v>6</v>
      </c>
      <c r="F17" t="str">
        <v>adaD3</v>
      </c>
      <c r="K17">
        <f>Table108[[#This Row],[Position]]</f>
        <v>6</v>
      </c>
    </row>
    <row r="18" spans="1:29" x14ac:dyDescent="0.35">
      <c r="A18" s="1" t="str">
        <f>StatesAndStagesSpec!B51</f>
        <v>adaD4</v>
      </c>
      <c r="B18">
        <f>StatesAndStagesSpec!A51</f>
        <v>7</v>
      </c>
      <c r="F18" t="str">
        <v>adaD4</v>
      </c>
      <c r="K18">
        <f>Table108[[#This Row],[Position]]</f>
        <v>7</v>
      </c>
    </row>
    <row r="19" spans="1:29" x14ac:dyDescent="0.35">
      <c r="A19" s="1" t="str">
        <f>StatesAndStagesSpec!B52</f>
        <v>adaD5</v>
      </c>
      <c r="B19">
        <f>StatesAndStagesSpec!A52</f>
        <v>8</v>
      </c>
      <c r="F19" t="str">
        <v>adaD5</v>
      </c>
      <c r="K19">
        <f>Table108[[#This Row],[Position]]</f>
        <v>8</v>
      </c>
    </row>
    <row r="20" spans="1:29" x14ac:dyDescent="0.35">
      <c r="A20" s="1" t="str">
        <f>StatesAndStagesSpec!B53</f>
        <v>adaD6</v>
      </c>
      <c r="B20">
        <f>StatesAndStagesSpec!A53</f>
        <v>9</v>
      </c>
      <c r="F20" t="str">
        <v>adaD6</v>
      </c>
      <c r="K20">
        <f>Table108[[#This Row],[Position]]</f>
        <v>9</v>
      </c>
    </row>
    <row r="21" spans="1:29" x14ac:dyDescent="0.35">
      <c r="A21" s="1" t="str">
        <f>StatesAndStagesSpec!B54</f>
        <v>ataDX</v>
      </c>
      <c r="B21">
        <f>StatesAndStagesSpec!A54</f>
        <v>10</v>
      </c>
      <c r="F21" t="str">
        <v>ataDX</v>
      </c>
      <c r="K21">
        <f>Table108[[#This Row],[Position]]</f>
        <v>10</v>
      </c>
    </row>
    <row r="22" spans="1:29" x14ac:dyDescent="0.35">
      <c r="A22" s="1" t="str">
        <f>StatesAndStagesSpec!B55</f>
        <v>ataPE</v>
      </c>
      <c r="B22">
        <f>StatesAndStagesSpec!A55</f>
        <v>11</v>
      </c>
      <c r="F22" t="str">
        <v>ataPE</v>
      </c>
      <c r="K22">
        <f>Table108[[#This Row],[Position]]</f>
        <v>11</v>
      </c>
    </row>
    <row r="23" spans="1:29" x14ac:dyDescent="0.35">
      <c r="A23" s="10" t="str">
        <f>StatesAndStagesSpec!B56</f>
        <v>auaSC</v>
      </c>
      <c r="B23">
        <f>StatesAndStagesSpec!A56</f>
        <v>12</v>
      </c>
      <c r="F23" t="str">
        <v>auaSC</v>
      </c>
      <c r="K23">
        <f>Table108[[#This Row],[Position]]</f>
        <v>12</v>
      </c>
    </row>
    <row r="24" spans="1:29" x14ac:dyDescent="0.35">
      <c r="A24" s="10" t="str">
        <f>StatesAndStagesSpec!B57</f>
        <v>axaDF</v>
      </c>
      <c r="B24">
        <f>StatesAndStagesSpec!A57</f>
        <v>13</v>
      </c>
      <c r="F24" t="str">
        <v>axaDF</v>
      </c>
      <c r="K24">
        <f>Table108[[#This Row],[Position]]</f>
        <v>13</v>
      </c>
    </row>
    <row r="25" spans="1:29" x14ac:dyDescent="0.35">
      <c r="A25" s="10" t="str">
        <f>StatesAndStagesSpec!B58</f>
        <v>axaPF</v>
      </c>
      <c r="B25">
        <f>StatesAndStagesSpec!A58</f>
        <v>14</v>
      </c>
      <c r="F25" t="str">
        <v>axaPF</v>
      </c>
      <c r="K25">
        <f>Table108[[#This Row],[Position]]</f>
        <v>14</v>
      </c>
    </row>
    <row r="28" spans="1:29" x14ac:dyDescent="0.35">
      <c r="A28" t="s">
        <v>356</v>
      </c>
    </row>
    <row r="30" spans="1:29" x14ac:dyDescent="0.35">
      <c r="A30" t="s">
        <v>357</v>
      </c>
      <c r="I30" t="s">
        <v>362</v>
      </c>
      <c r="T30" t="s">
        <v>366</v>
      </c>
    </row>
    <row r="31" spans="1:29" x14ac:dyDescent="0.35">
      <c r="A31" t="s">
        <v>8</v>
      </c>
      <c r="B31" t="s">
        <v>358</v>
      </c>
      <c r="C31" t="s">
        <v>272</v>
      </c>
      <c r="D31" t="s">
        <v>359</v>
      </c>
      <c r="E31" t="s">
        <v>17</v>
      </c>
      <c r="F31" t="s">
        <v>360</v>
      </c>
      <c r="G31" t="s">
        <v>361</v>
      </c>
      <c r="I31" t="s">
        <v>8</v>
      </c>
      <c r="J31" t="s">
        <v>358</v>
      </c>
      <c r="K31" t="s">
        <v>272</v>
      </c>
      <c r="L31" t="s">
        <v>359</v>
      </c>
      <c r="M31" t="s">
        <v>17</v>
      </c>
      <c r="N31" t="s">
        <v>360</v>
      </c>
      <c r="O31" t="s">
        <v>361</v>
      </c>
      <c r="P31" t="s">
        <v>363</v>
      </c>
      <c r="Q31" t="s">
        <v>364</v>
      </c>
      <c r="R31" t="s">
        <v>365</v>
      </c>
      <c r="T31" t="s">
        <v>8</v>
      </c>
      <c r="U31" t="s">
        <v>358</v>
      </c>
      <c r="V31" t="s">
        <v>272</v>
      </c>
      <c r="W31" t="s">
        <v>359</v>
      </c>
      <c r="X31" t="s">
        <v>17</v>
      </c>
      <c r="Y31" t="s">
        <v>360</v>
      </c>
      <c r="Z31" t="s">
        <v>361</v>
      </c>
      <c r="AA31" t="s">
        <v>363</v>
      </c>
      <c r="AB31" t="s">
        <v>364</v>
      </c>
      <c r="AC31" t="s">
        <v>365</v>
      </c>
    </row>
    <row r="32" spans="1:29" x14ac:dyDescent="0.35">
      <c r="B32" s="1"/>
      <c r="J32" s="1"/>
      <c r="Q32" s="1"/>
      <c r="U32" s="1"/>
      <c r="AB32" s="1"/>
    </row>
  </sheetData>
  <phoneticPr fontId="2" type="noConversion"/>
  <pageMargins left="0.7" right="0.7" top="0.75" bottom="0.75" header="0.3" footer="0.3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StocksAndFlowsSpec</vt:lpstr>
      <vt:lpstr>StatesAndStagesSpec</vt:lpstr>
      <vt:lpstr>MatrixMap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CJWypasek</dc:creator>
  <cp:lastModifiedBy>CJWypasek</cp:lastModifiedBy>
  <dcterms:created xsi:type="dcterms:W3CDTF">2022-02-14T20:29:39Z</dcterms:created>
  <dcterms:modified xsi:type="dcterms:W3CDTF">2022-02-14T23:50:03Z</dcterms:modified>
</cp:coreProperties>
</file>