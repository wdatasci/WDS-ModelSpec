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DS\dev\lib\github\WDataSci\WDS-ModelSpec\master\WDS-Cs\WDS\XLL\"/>
    </mc:Choice>
  </mc:AlternateContent>
  <xr:revisionPtr revIDLastSave="0" documentId="13_ncr:1_{B881EC71-5C9B-4307-AB46-041FEAB0531B}" xr6:coauthVersionLast="47" xr6:coauthVersionMax="47" xr10:uidLastSave="{00000000-0000-0000-0000-000000000000}"/>
  <bookViews>
    <workbookView xWindow="-96" yWindow="-96" windowWidth="23232" windowHeight="12432" activeTab="1" xr2:uid="{F0DF219B-766A-45EF-8A60-F70644465582}"/>
  </bookViews>
  <sheets>
    <sheet name="MSClearScript Test" sheetId="18" r:id="rId1"/>
    <sheet name="Utility Functions Test" sheetId="19" r:id="rId2"/>
  </sheets>
  <functionGroups builtInGroupCount="19"/>
  <definedNames>
    <definedName name="CrossDraw">#REF!</definedName>
    <definedName name="PositionDist">#REF!</definedName>
    <definedName name="PositionDistMaxValues">#REF!</definedName>
    <definedName name="Rewards">#REF!</definedName>
    <definedName name="Straight">#REF!</definedName>
    <definedName name="Strategy">#REF!</definedName>
    <definedName name="StrategyOptional1">#REF!</definedName>
    <definedName name="StrategyOptional2">#REF!</definedName>
    <definedName name="Threshold1">#REF!</definedName>
    <definedName name="Threshold2">#REF!</definedName>
    <definedName name="uNHistRows">#REF!</definedName>
    <definedName name="uNSamples">#REF!</definedName>
    <definedName name="uScoreCase">#REF!</definedName>
    <definedName name="uScoreMax">#REF!</definedName>
    <definedName name="WeightCas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 a="1"/>
  <c r="B2" i="19"/>
  <c r="E20" i="19" a="1"/>
  <c r="E20" i="19"/>
  <c r="E22" i="19" a="1"/>
  <c r="E22" i="19"/>
  <c r="D15" i="19"/>
  <c r="E15" i="19"/>
  <c r="C15" i="19" a="1"/>
  <c r="C15" i="19"/>
  <c r="C14" i="19" a="1"/>
  <c r="C14" i="19"/>
  <c r="C13" i="19" a="1"/>
  <c r="C13" i="19"/>
  <c r="C12" i="19" a="1"/>
  <c r="C12" i="19"/>
  <c r="C11" i="19" a="1"/>
  <c r="C11" i="19"/>
  <c r="C10" i="19" a="1"/>
  <c r="C10" i="19"/>
  <c r="C9" i="19" a="1"/>
  <c r="C9" i="19"/>
  <c r="C8" i="19" a="1"/>
  <c r="C8" i="19"/>
  <c r="C7" i="19" a="1"/>
  <c r="C7" i="19"/>
  <c r="C6" i="19" a="1"/>
  <c r="C6" i="19"/>
  <c r="C5" i="19" a="1"/>
  <c r="C5" i="19"/>
  <c r="C4" i="19" a="1"/>
  <c r="C4" i="19"/>
  <c r="E35" i="18" a="1"/>
  <c r="E35" i="18"/>
  <c r="B27" i="18"/>
  <c r="D26" i="18" a="1"/>
  <c r="D26" i="18"/>
  <c r="D27" i="18" a="1"/>
  <c r="D27" i="18"/>
  <c r="B19" i="18"/>
  <c r="D16" i="18" a="1"/>
  <c r="D16" i="18"/>
  <c r="D19" i="18" a="1"/>
  <c r="D19" i="18"/>
  <c r="D17" i="18" a="1"/>
  <c r="D17" i="18"/>
  <c r="B36" i="18"/>
  <c r="C36" i="18"/>
  <c r="E36" i="18" a="1"/>
  <c r="E36" i="18"/>
  <c r="D6" i="18" a="1"/>
  <c r="D6" i="18"/>
  <c r="B18" i="18"/>
  <c r="D18" i="18" a="1"/>
  <c r="D18" i="18"/>
  <c r="B20" i="18"/>
  <c r="D20" i="18" a="1"/>
  <c r="D20" i="18"/>
  <c r="B21" i="18"/>
  <c r="D21" i="18" a="1"/>
  <c r="D21" i="18"/>
  <c r="B22" i="18"/>
  <c r="D22" i="18" a="1"/>
  <c r="D22" i="18"/>
  <c r="B12" i="18"/>
  <c r="D12" i="18" a="1"/>
  <c r="D12" i="18"/>
  <c r="B10" i="18"/>
  <c r="D10" i="18" a="1"/>
  <c r="D10" i="18"/>
  <c r="B9" i="18"/>
  <c r="D9" i="18" a="1"/>
  <c r="D9" i="18"/>
  <c r="B8" i="18"/>
  <c r="D8" i="18" a="1"/>
  <c r="D8" i="18"/>
  <c r="D7" i="18" a="1"/>
  <c r="D7" i="18"/>
  <c r="B11" i="18"/>
  <c r="D11" i="18" a="1"/>
  <c r="D11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<sst xmlns="http://schemas.openxmlformats.org/spreadsheetml/2006/main" count="72" uniqueCount="51">
  <si>
    <t>x2</t>
  </si>
  <si>
    <t>x</t>
  </si>
  <si>
    <t>x3</t>
  </si>
  <si>
    <t>arr= Array(5).fill(0).map(x =&gt; Array(10).fill(0)); arr[0][0]=x; arr[1][1]=2;arr[0][1]=3;arr[1][0]=4;return arr;</t>
  </si>
  <si>
    <t>X4</t>
  </si>
  <si>
    <t>Change value to trigger total recalc&gt;&gt;</t>
  </si>
  <si>
    <t>xxxx</t>
  </si>
  <si>
    <t>Name</t>
  </si>
  <si>
    <t>Parameter(s)</t>
  </si>
  <si>
    <t>Body only code</t>
  </si>
  <si>
    <t>Example of construction of a body-only function, simple atomic return, and evaluation</t>
  </si>
  <si>
    <t>Example of construction of a body-only function, vector return, and evaluation</t>
  </si>
  <si>
    <t>Example of construction of a body-only function, matrix return, and evaluation</t>
  </si>
  <si>
    <t>Example of construction of a function without a name and parameter list and evaluation</t>
  </si>
  <si>
    <t>x5</t>
  </si>
  <si>
    <t>xxxxxxxxxxxxxxxxxxxxxx</t>
  </si>
  <si>
    <t>x1</t>
  </si>
  <si>
    <t>Return of function construction or evaluation in global Clearscript namespace</t>
  </si>
  <si>
    <t>function x5(x1,x2) { 
let arr=new Array(5).fill().map(() =&gt;new Array(10).fill(0)); arr[0][0]=x1; arr[1][1]=2;arr[0][1]=3;arr[1][0]=4;arr[4][9]=x2;return arr;}</t>
  </si>
  <si>
    <t>for (;x&lt;1000;x+=1);
return x*x;</t>
  </si>
  <si>
    <t>let arr= Array(3).fill(0); arr[0]=x;arr[2]=3;return arr;</t>
  </si>
  <si>
    <t>bIn Operator</t>
  </si>
  <si>
    <t>constants</t>
  </si>
  <si>
    <t>bIn(2,2,3,4)</t>
  </si>
  <si>
    <t>bIn(1,2,3,4)</t>
  </si>
  <si>
    <t>bIn("hey",1,3,"hey")</t>
  </si>
  <si>
    <t>bIn(1,1,3,"Hey")</t>
  </si>
  <si>
    <t>bIn("What",1,3,"hey")</t>
  </si>
  <si>
    <t>bIn("What",{1,3,"hey"})</t>
  </si>
  <si>
    <t>bIn("hey",{1,3,"hey"})</t>
  </si>
  <si>
    <t>bIn("hey",2,{1,3,"hey"})</t>
  </si>
  <si>
    <t>bIn(8,2,{1,3,"hey"})</t>
  </si>
  <si>
    <t>range valued</t>
  </si>
  <si>
    <t>10</t>
  </si>
  <si>
    <t>bIn(C12,D12:G12)</t>
  </si>
  <si>
    <t>bIn(C13,D13:G13)</t>
  </si>
  <si>
    <t>bIn(C14,D14:G14)</t>
  </si>
  <si>
    <t>CrossProductEnumeration Operator</t>
  </si>
  <si>
    <t>Range1</t>
  </si>
  <si>
    <t>Range2</t>
  </si>
  <si>
    <t>Range3</t>
  </si>
  <si>
    <t>A</t>
  </si>
  <si>
    <t>B</t>
  </si>
  <si>
    <t>a</t>
  </si>
  <si>
    <t>b</t>
  </si>
  <si>
    <t>c</t>
  </si>
  <si>
    <t>CrossProductEnumeration</t>
  </si>
  <si>
    <t>Simple Count (first argument as 1, returns total # followed by unique column counts)</t>
  </si>
  <si>
    <t>Full Enumeration (first argument as 0, returns total # of rows, each with total #, row index, cycling unique values in each range followed by cycling indices)</t>
  </si>
  <si>
    <t>Is XLL Loaded</t>
  </si>
  <si>
    <t>To Force Full Recalculation:  Cntrl - Alt - 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</si>
</sst>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3862-660D-4ACA-8101-84F51EEEABAC}">
  <sheetPr codeName="Sheet18"/>
  <dimension ref="A1:N40"/>
  <sheetViews>
    <sheetView zoomScale="55" zoomScaleNormal="55" workbookViewId="0">
      <selection activeCell="E9" sqref="E9"/>
    </sheetView>
  </sheetViews>
  <sheetFormatPr defaultRowHeight="14.4" x14ac:dyDescent="0.55000000000000004"/>
  <cols>
    <col min="1" max="1" width="5.734375" bestFit="1" customWidth="1"/>
    <col min="2" max="2" width="11.7890625" bestFit="1" customWidth="1"/>
    <col min="3" max="3" width="49.734375" bestFit="1" customWidth="1"/>
    <col min="4" max="4" width="21.1015625" bestFit="1" customWidth="1"/>
    <col min="5" max="5" width="119.26171875" bestFit="1" customWidth="1"/>
    <col min="6" max="8" width="4.47265625" bestFit="1" customWidth="1"/>
    <col min="15" max="15" width="23.5234375" bestFit="1" customWidth="1"/>
  </cols>
  <sheetData>
    <row r="1" spans="1:13" x14ac:dyDescent="0.55000000000000004">
      <c r="A1" s="4" t="s">
        <v>5</v>
      </c>
      <c r="B1" s="4"/>
      <c r="C1" s="4"/>
      <c r="D1">
        <v>2</v>
      </c>
    </row>
    <row r="2" spans="1:13" x14ac:dyDescent="0.55000000000000004">
      <c r="A2" t="s">
        <v>6</v>
      </c>
      <c r="B2" t="s">
        <v>6</v>
      </c>
      <c r="C2" t="s">
        <v>15</v>
      </c>
      <c r="D2" t="s">
        <v>15</v>
      </c>
      <c r="E2" t="s">
        <v>6</v>
      </c>
      <c r="F2" t="s">
        <v>6</v>
      </c>
      <c r="G2" t="s">
        <v>6</v>
      </c>
      <c r="H2" t="s">
        <v>6</v>
      </c>
    </row>
    <row r="4" spans="1:13" x14ac:dyDescent="0.55000000000000004">
      <c r="A4" s="4" t="s">
        <v>10</v>
      </c>
      <c r="B4" s="4"/>
      <c r="C4" s="4"/>
      <c r="D4" s="4"/>
    </row>
    <row r="5" spans="1:13" x14ac:dyDescent="0.55000000000000004">
      <c r="A5" t="s">
        <v>7</v>
      </c>
      <c r="B5" t="s">
        <v>8</v>
      </c>
      <c r="C5" t="s">
        <v>9</v>
      </c>
      <c r="D5" s="4" t="s">
        <v>17</v>
      </c>
      <c r="E5" s="4"/>
      <c r="F5" s="4"/>
      <c r="G5" s="4"/>
      <c r="H5" s="4"/>
      <c r="I5" s="4"/>
      <c r="J5" s="4"/>
      <c r="K5" s="4"/>
      <c r="L5" s="4"/>
      <c r="M5" s="4"/>
    </row>
    <row r="6" spans="1:13" ht="28.8" x14ac:dyDescent="0.55000000000000004">
      <c r="A6" t="s">
        <v>0</v>
      </c>
      <c r="B6" t="s">
        <v>1</v>
      </c>
      <c r="C6" s="1" t="s">
        <v>19</v>
      </c>
      <c r="D6" t="str" cm="1">
        <f t="array" ref="D6">_xll.WDS.MSClearScript.FunctionConstructorFromBodyOnly(A6,B6,C6,$D$1)</f>
        <v>x2</v>
      </c>
    </row>
    <row r="7" spans="1:13" x14ac:dyDescent="0.55000000000000004">
      <c r="B7">
        <v>1</v>
      </c>
      <c r="D7" cm="1">
        <f t="array" ref="D7">_xll.WDS.MSClearScript.SimpleFunctionEvaluator($D$6,$B$6,B7)</f>
        <v>1000000</v>
      </c>
    </row>
    <row r="8" spans="1:13" x14ac:dyDescent="0.55000000000000004">
      <c r="B8">
        <f ca="1">RAND()</f>
        <v>6.6902331466537346E-2</v>
      </c>
      <c r="D8" cm="1">
        <f t="array" aca="1" ref="D8" ca="1">_xll.WDS.MSClearScript.SimpleFunctionEvaluator($D$6,$B$6,B8)</f>
        <v>1000133.809138855</v>
      </c>
    </row>
    <row r="9" spans="1:13" x14ac:dyDescent="0.55000000000000004">
      <c r="B9">
        <f t="shared" ref="B9:B12" ca="1" si="0">RAND()</f>
        <v>0.11103898205215335</v>
      </c>
      <c r="D9" cm="1">
        <f t="array" aca="1" ref="D9" ca="1">_xll.WDS.MSClearScript.SimpleFunctionEvaluator($D$6,$B$6,B9)</f>
        <v>1000222.0902937598</v>
      </c>
    </row>
    <row r="10" spans="1:13" x14ac:dyDescent="0.55000000000000004">
      <c r="B10">
        <f t="shared" ca="1" si="0"/>
        <v>0.39921518112143983</v>
      </c>
      <c r="D10" cm="1">
        <f t="array" aca="1" ref="D10" ca="1">_xll.WDS.MSClearScript.SimpleFunctionEvaluator($D$6,$B$6,B10)</f>
        <v>1000798.5897350038</v>
      </c>
    </row>
    <row r="11" spans="1:13" x14ac:dyDescent="0.55000000000000004">
      <c r="B11">
        <f t="shared" ca="1" si="0"/>
        <v>0.46003283064685396</v>
      </c>
      <c r="D11" cm="1">
        <f t="array" aca="1" ref="D11" ca="1">_xll.WDS.MSClearScript.SimpleFunctionEvaluator($D$6,$B$6,B11)</f>
        <v>1000920.2772914991</v>
      </c>
    </row>
    <row r="12" spans="1:13" x14ac:dyDescent="0.55000000000000004">
      <c r="B12">
        <f t="shared" ca="1" si="0"/>
        <v>0.13669820122924203</v>
      </c>
      <c r="D12" cm="1">
        <f t="array" aca="1" ref="D12" ca="1">_xll.WDS.MSClearScript.SimpleFunctionEvaluator($D$6,$B$6,B12)</f>
        <v>1000273.4150888567</v>
      </c>
    </row>
    <row r="14" spans="1:13" x14ac:dyDescent="0.55000000000000004">
      <c r="A14" s="4" t="s">
        <v>11</v>
      </c>
      <c r="B14" s="4"/>
      <c r="C14" s="4"/>
      <c r="D14" s="4"/>
    </row>
    <row r="15" spans="1:13" x14ac:dyDescent="0.55000000000000004">
      <c r="A15" t="s">
        <v>7</v>
      </c>
      <c r="B15" t="s">
        <v>8</v>
      </c>
      <c r="C15" t="s">
        <v>9</v>
      </c>
      <c r="D15" s="4" t="s">
        <v>17</v>
      </c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55000000000000004">
      <c r="A16" t="s">
        <v>2</v>
      </c>
      <c r="B16" t="s">
        <v>1</v>
      </c>
      <c r="C16" s="1" t="s">
        <v>20</v>
      </c>
      <c r="D16" t="str" cm="1">
        <f t="array" ref="D16">_xll.WDS.MSClearScript.FunctionConstructorFromBodyOnly(A16,B16,C16,,$D$1)</f>
        <v>x3</v>
      </c>
    </row>
    <row r="17" spans="1:13" x14ac:dyDescent="0.55000000000000004">
      <c r="B17">
        <v>1</v>
      </c>
      <c r="C17" s="1"/>
      <c r="D17" cm="1">
        <f t="array" ref="D17:F17">_xll.WDS.MSClearScript.FunctionEvaluator($D$16,$B$16,B17,$D$16)</f>
        <v>1</v>
      </c>
      <c r="E17">
        <v>0</v>
      </c>
      <c r="F17">
        <v>3</v>
      </c>
    </row>
    <row r="18" spans="1:13" x14ac:dyDescent="0.55000000000000004">
      <c r="B18">
        <f ca="1">RAND()</f>
        <v>0.83858642140576345</v>
      </c>
      <c r="C18" s="1"/>
      <c r="D18" cm="1">
        <f t="array" aca="1" ref="D18:F18" ca="1">_xll.WDS.MSClearScript.FunctionEvaluator($D$16,$B$16,B18,$D$16)</f>
        <v>0.83858642140576345</v>
      </c>
      <c r="E18">
        <f ca="1"/>
        <v>0</v>
      </c>
      <c r="F18">
        <f ca="1"/>
        <v>3</v>
      </c>
    </row>
    <row r="19" spans="1:13" x14ac:dyDescent="0.55000000000000004">
      <c r="B19">
        <f t="shared" ref="B19:B22" ca="1" si="1">RAND()</f>
        <v>0.16121340471180035</v>
      </c>
      <c r="D19" cm="1">
        <f t="array" aca="1" ref="D19:F19" ca="1">_xll.WDS.MSClearScript.FunctionEvaluator($D$16,$B$16,B19,$D$16)</f>
        <v>0.16121340471180035</v>
      </c>
      <c r="E19">
        <f ca="1"/>
        <v>0</v>
      </c>
      <c r="F19">
        <f ca="1"/>
        <v>3</v>
      </c>
    </row>
    <row r="20" spans="1:13" x14ac:dyDescent="0.55000000000000004">
      <c r="B20">
        <f t="shared" ca="1" si="1"/>
        <v>0.57720508933668657</v>
      </c>
      <c r="D20" cm="1">
        <f t="array" aca="1" ref="D20:F20" ca="1">_xll.WDS.MSClearScript.FunctionEvaluator($D$16,$B$16,B20,$D$16)</f>
        <v>0.57720508933668657</v>
      </c>
      <c r="E20">
        <f ca="1"/>
        <v>0</v>
      </c>
      <c r="F20">
        <f ca="1"/>
        <v>3</v>
      </c>
    </row>
    <row r="21" spans="1:13" x14ac:dyDescent="0.55000000000000004">
      <c r="B21">
        <f t="shared" ca="1" si="1"/>
        <v>0.14223007190990777</v>
      </c>
      <c r="D21" cm="1">
        <f t="array" aca="1" ref="D21:F21" ca="1">_xll.WDS.MSClearScript.FunctionEvaluator($D$16,$B$16,B21,$D$16)</f>
        <v>0.14223007190990777</v>
      </c>
      <c r="E21">
        <f ca="1"/>
        <v>0</v>
      </c>
      <c r="F21">
        <f ca="1"/>
        <v>3</v>
      </c>
    </row>
    <row r="22" spans="1:13" x14ac:dyDescent="0.55000000000000004">
      <c r="B22">
        <f t="shared" ca="1" si="1"/>
        <v>0.78919981937300709</v>
      </c>
      <c r="D22" cm="1">
        <f t="array" aca="1" ref="D22:F22" ca="1">_xll.WDS.MSClearScript.FunctionEvaluator($D$16,$B$16,B22,$D$16)</f>
        <v>0.78919981937300709</v>
      </c>
      <c r="E22">
        <f ca="1"/>
        <v>0</v>
      </c>
      <c r="F22">
        <f ca="1"/>
        <v>3</v>
      </c>
    </row>
    <row r="24" spans="1:13" x14ac:dyDescent="0.55000000000000004">
      <c r="A24" s="4" t="s">
        <v>12</v>
      </c>
      <c r="B24" s="4"/>
      <c r="C24" s="4"/>
      <c r="D24" s="4"/>
    </row>
    <row r="25" spans="1:13" x14ac:dyDescent="0.55000000000000004">
      <c r="A25" t="s">
        <v>7</v>
      </c>
      <c r="B25" t="s">
        <v>8</v>
      </c>
      <c r="C25" t="s">
        <v>9</v>
      </c>
      <c r="D25" s="4" t="s">
        <v>17</v>
      </c>
      <c r="E25" s="4"/>
      <c r="F25" s="4"/>
      <c r="G25" s="4"/>
      <c r="H25" s="4"/>
      <c r="I25" s="4"/>
      <c r="J25" s="4"/>
      <c r="K25" s="4"/>
      <c r="L25" s="4"/>
      <c r="M25" s="4"/>
    </row>
    <row r="26" spans="1:13" ht="28.8" x14ac:dyDescent="0.55000000000000004">
      <c r="A26" t="s">
        <v>4</v>
      </c>
      <c r="B26" t="s">
        <v>1</v>
      </c>
      <c r="C26" s="1" t="s">
        <v>3</v>
      </c>
      <c r="D26" t="str" cm="1">
        <f t="array" ref="D26">_xll.WDS.MSClearScript.FunctionConstructorFromBodyOnly(A26,B26,C26,$D$1)</f>
        <v>X4</v>
      </c>
    </row>
    <row r="27" spans="1:13" x14ac:dyDescent="0.55000000000000004">
      <c r="B27">
        <f ca="1">RAND()</f>
        <v>0.28760346005545101</v>
      </c>
      <c r="D27" cm="1">
        <f t="array" aca="1" ref="D27:M31" ca="1">_xll.WDS.MSClearScript.FunctionEvaluator($D$26,$B$26,B27,$D$26)</f>
        <v>0.28760346005545101</v>
      </c>
      <c r="E27">
        <f ca="1"/>
        <v>3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</row>
    <row r="28" spans="1:13" x14ac:dyDescent="0.55000000000000004">
      <c r="D28">
        <f ca="1"/>
        <v>4</v>
      </c>
      <c r="E28">
        <f ca="1"/>
        <v>2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</row>
    <row r="29" spans="1:13" x14ac:dyDescent="0.55000000000000004"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</row>
    <row r="30" spans="1:13" x14ac:dyDescent="0.55000000000000004"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</row>
    <row r="31" spans="1:13" x14ac:dyDescent="0.55000000000000004"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</row>
    <row r="33" spans="1:14" x14ac:dyDescent="0.55000000000000004">
      <c r="A33" s="4" t="s">
        <v>13</v>
      </c>
      <c r="B33" s="4"/>
      <c r="C33" s="4"/>
      <c r="D33" s="4"/>
    </row>
    <row r="34" spans="1:14" x14ac:dyDescent="0.55000000000000004">
      <c r="A34" t="s">
        <v>7</v>
      </c>
      <c r="B34" t="s">
        <v>8</v>
      </c>
      <c r="D34" t="s">
        <v>9</v>
      </c>
      <c r="E34" s="4" t="s">
        <v>17</v>
      </c>
      <c r="F34" s="4"/>
      <c r="G34" s="4"/>
      <c r="H34" s="4"/>
      <c r="I34" s="4"/>
      <c r="J34" s="4"/>
      <c r="K34" s="4"/>
      <c r="L34" s="4"/>
      <c r="M34" s="4"/>
      <c r="N34" s="4"/>
    </row>
    <row r="35" spans="1:14" ht="115.2" x14ac:dyDescent="0.55000000000000004">
      <c r="A35" t="s">
        <v>14</v>
      </c>
      <c r="B35" t="s">
        <v>16</v>
      </c>
      <c r="C35" t="s">
        <v>0</v>
      </c>
      <c r="D35" s="1" t="s">
        <v>18</v>
      </c>
      <c r="E35" t="str" cm="1">
        <f t="array" ref="E35">_xll.WDS.MSClearScript.RunCode(D35,$D$1)</f>
        <v>function x5(x1,x2) { 
let arr=new Array(5).fill().map(() =&gt;new Array(10).fill(0)); arr[0][0]=x1; arr[1][1]=2;arr[0][1]=3;arr[1][0]=4;arr[4][9]=x2;return arr;}</v>
      </c>
    </row>
    <row r="36" spans="1:14" x14ac:dyDescent="0.55000000000000004">
      <c r="B36">
        <f ca="1">RAND()</f>
        <v>0.62935111983389591</v>
      </c>
      <c r="C36">
        <f ca="1">RAND()</f>
        <v>0.79343509766816933</v>
      </c>
      <c r="E36" cm="1">
        <f t="array" aca="1" ref="E36:N40" ca="1">_xll.WDS.MSClearScript.FunctionEvaluator($A$35,$B$35:$C$35,B36:C36,$E35)</f>
        <v>0.62935111983389591</v>
      </c>
      <c r="F36">
        <f ca="1"/>
        <v>3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</row>
    <row r="37" spans="1:14" x14ac:dyDescent="0.55000000000000004">
      <c r="E37">
        <f ca="1"/>
        <v>4</v>
      </c>
      <c r="F37">
        <f ca="1"/>
        <v>2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</row>
    <row r="38" spans="1:14" x14ac:dyDescent="0.55000000000000004"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</row>
    <row r="39" spans="1:14" x14ac:dyDescent="0.55000000000000004"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</row>
    <row r="40" spans="1:14" x14ac:dyDescent="0.55000000000000004"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M40">
        <f ca="1"/>
        <v>0</v>
      </c>
      <c r="N40">
        <f ca="1"/>
        <v>0.79343509766816933</v>
      </c>
    </row>
  </sheetData>
  <mergeCells count="9">
    <mergeCell ref="E34:N34"/>
    <mergeCell ref="A4:D4"/>
    <mergeCell ref="A14:D14"/>
    <mergeCell ref="A24:D24"/>
    <mergeCell ref="A1:C1"/>
    <mergeCell ref="D5:M5"/>
    <mergeCell ref="D15:M15"/>
    <mergeCell ref="D25:M25"/>
    <mergeCell ref="A33:D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261F-8211-4944-B410-1A3FF2315D25}">
  <sheetPr codeName="Sheet2"/>
  <dimension ref="A1:W33"/>
  <sheetViews>
    <sheetView tabSelected="1" workbookViewId="0">
      <selection activeCell="H3" sqref="H3"/>
    </sheetView>
  </sheetViews>
  <sheetFormatPr defaultRowHeight="14.4" x14ac:dyDescent="0.55000000000000004"/>
  <cols>
    <col min="1" max="1" width="29.3125" bestFit="1" customWidth="1"/>
    <col min="2" max="2" width="19.41796875" bestFit="1" customWidth="1"/>
    <col min="3" max="3" width="7.5234375" bestFit="1" customWidth="1"/>
    <col min="4" max="5" width="11.68359375" bestFit="1" customWidth="1"/>
    <col min="6" max="6" width="2.68359375" bestFit="1" customWidth="1"/>
    <col min="7" max="7" width="1.68359375" bestFit="1" customWidth="1"/>
  </cols>
  <sheetData>
    <row r="1" spans="1:7" ht="20.399999999999999" x14ac:dyDescent="0.75">
      <c r="A1" s="3" t="s">
        <v>50</v>
      </c>
    </row>
    <row r="2" spans="1:7" ht="20.399999999999999" x14ac:dyDescent="0.75">
      <c r="A2" s="3" t="s">
        <v>49</v>
      </c>
      <c r="B2" t="b" cm="1">
        <f t="array" ref="B2">_xll.WDS.ModelUtil.bXLLIsLoaded()</f>
        <v>1</v>
      </c>
    </row>
    <row r="3" spans="1:7" ht="20.399999999999999" x14ac:dyDescent="0.75">
      <c r="A3" s="3" t="s">
        <v>21</v>
      </c>
    </row>
    <row r="4" spans="1:7" x14ac:dyDescent="0.55000000000000004">
      <c r="A4" t="s">
        <v>22</v>
      </c>
      <c r="B4" t="s">
        <v>23</v>
      </c>
      <c r="C4" t="b" cm="1">
        <f t="array" ref="C4">_xll.bIn(2,2,3,4)</f>
        <v>1</v>
      </c>
    </row>
    <row r="5" spans="1:7" x14ac:dyDescent="0.55000000000000004">
      <c r="B5" t="s">
        <v>24</v>
      </c>
      <c r="C5" t="b" cm="1">
        <f t="array" ref="C5">_xll.bIn(1,2,3,4)</f>
        <v>0</v>
      </c>
    </row>
    <row r="6" spans="1:7" x14ac:dyDescent="0.55000000000000004">
      <c r="B6" t="s">
        <v>26</v>
      </c>
      <c r="C6" t="b" cm="1">
        <f t="array" ref="C6">_xll.bIn(1,1,3,"Hey")</f>
        <v>1</v>
      </c>
    </row>
    <row r="7" spans="1:7" x14ac:dyDescent="0.55000000000000004">
      <c r="B7" t="s">
        <v>25</v>
      </c>
      <c r="C7" t="b" cm="1">
        <f t="array" ref="C7">_xll.bIn("hey",1,3,"hey")</f>
        <v>1</v>
      </c>
    </row>
    <row r="8" spans="1:7" x14ac:dyDescent="0.55000000000000004">
      <c r="B8" t="s">
        <v>27</v>
      </c>
      <c r="C8" t="b" cm="1">
        <f t="array" ref="C8">_xll.bIn("What",1,3,"hey")</f>
        <v>0</v>
      </c>
    </row>
    <row r="9" spans="1:7" x14ac:dyDescent="0.55000000000000004">
      <c r="B9" t="s">
        <v>28</v>
      </c>
      <c r="C9" t="b" cm="1">
        <f t="array" ref="C9">_xll.bIn("What",{1,3,"hey"})</f>
        <v>0</v>
      </c>
    </row>
    <row r="10" spans="1:7" x14ac:dyDescent="0.55000000000000004">
      <c r="B10" t="s">
        <v>29</v>
      </c>
      <c r="C10" t="b" cm="1">
        <f t="array" ref="C10">_xll.bIn("hey",{1,3,"hey"})</f>
        <v>1</v>
      </c>
    </row>
    <row r="11" spans="1:7" x14ac:dyDescent="0.55000000000000004">
      <c r="B11" t="s">
        <v>30</v>
      </c>
      <c r="C11" t="b" cm="1">
        <f t="array" ref="C11">_xll.bIn("hey",2,{1,3,"hey"})</f>
        <v>1</v>
      </c>
    </row>
    <row r="12" spans="1:7" x14ac:dyDescent="0.55000000000000004">
      <c r="B12" t="s">
        <v>31</v>
      </c>
      <c r="C12" t="b" cm="1">
        <f t="array" ref="C12">_xll.bIn(8,2,{1,3,"hey"})</f>
        <v>0</v>
      </c>
    </row>
    <row r="13" spans="1:7" x14ac:dyDescent="0.55000000000000004">
      <c r="A13" t="s">
        <v>32</v>
      </c>
      <c r="B13" t="s">
        <v>34</v>
      </c>
      <c r="C13" t="b" cm="1">
        <f t="array" ref="C13">_xll.bIn(D13,E13:H13)</f>
        <v>0</v>
      </c>
      <c r="D13">
        <v>3</v>
      </c>
      <c r="E13">
        <v>1</v>
      </c>
      <c r="F13">
        <v>10</v>
      </c>
      <c r="G13">
        <v>2</v>
      </c>
    </row>
    <row r="14" spans="1:7" x14ac:dyDescent="0.55000000000000004">
      <c r="B14" t="s">
        <v>35</v>
      </c>
      <c r="C14" t="b" cm="1">
        <f t="array" ref="C14">_xll.bIn(D14,E14:H14)</f>
        <v>1</v>
      </c>
      <c r="D14">
        <v>10</v>
      </c>
      <c r="E14" s="2" t="s">
        <v>33</v>
      </c>
    </row>
    <row r="15" spans="1:7" x14ac:dyDescent="0.55000000000000004">
      <c r="B15" t="s">
        <v>36</v>
      </c>
      <c r="C15" t="b" cm="1">
        <f t="array" aca="1" ref="C15" ca="1">_xll.bIn(D15,E15:H15)</f>
        <v>1</v>
      </c>
      <c r="D15">
        <f ca="1">RAND()</f>
        <v>0.60489569483678418</v>
      </c>
      <c r="E15">
        <f ca="1">D15</f>
        <v>0.60489569483678418</v>
      </c>
    </row>
    <row r="17" spans="1:23" x14ac:dyDescent="0.55000000000000004">
      <c r="A17" t="s">
        <v>37</v>
      </c>
    </row>
    <row r="18" spans="1:23" x14ac:dyDescent="0.55000000000000004">
      <c r="A18" t="s">
        <v>38</v>
      </c>
      <c r="B18" t="s">
        <v>39</v>
      </c>
      <c r="C18" t="s">
        <v>40</v>
      </c>
      <c r="E18" s="4" t="s">
        <v>46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55000000000000004">
      <c r="A19" t="s">
        <v>41</v>
      </c>
      <c r="B19" t="s">
        <v>43</v>
      </c>
      <c r="C19">
        <v>1</v>
      </c>
      <c r="E19" s="4" t="s">
        <v>47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55000000000000004">
      <c r="A20" t="s">
        <v>42</v>
      </c>
      <c r="B20" t="s">
        <v>44</v>
      </c>
      <c r="C20">
        <v>10</v>
      </c>
      <c r="E20" cm="1">
        <f t="array" ref="E20:L20">_xll.CrossProductEnumeration(1,A19:A20,B19:B21,C19:C20)</f>
        <v>12</v>
      </c>
      <c r="F20">
        <v>12</v>
      </c>
      <c r="G20">
        <v>2</v>
      </c>
      <c r="H20">
        <v>3</v>
      </c>
      <c r="I20">
        <v>2</v>
      </c>
      <c r="J20">
        <v>2</v>
      </c>
      <c r="K20">
        <v>3</v>
      </c>
      <c r="L20">
        <v>2</v>
      </c>
    </row>
    <row r="21" spans="1:23" x14ac:dyDescent="0.55000000000000004">
      <c r="B21" t="s">
        <v>45</v>
      </c>
      <c r="E21" t="s">
        <v>48</v>
      </c>
    </row>
    <row r="22" spans="1:23" x14ac:dyDescent="0.55000000000000004">
      <c r="E22" cm="1">
        <f t="array" ref="E22:L33">_xll.CrossProductEnumeration(0,A19:A20,B19:B21,C19:C20)</f>
        <v>12</v>
      </c>
      <c r="F22">
        <v>0</v>
      </c>
      <c r="G22" t="str">
        <v>A</v>
      </c>
      <c r="H22" t="str">
        <v>a</v>
      </c>
      <c r="I22">
        <v>1</v>
      </c>
      <c r="J22">
        <v>1</v>
      </c>
      <c r="K22">
        <v>1</v>
      </c>
      <c r="L22">
        <v>1</v>
      </c>
    </row>
    <row r="23" spans="1:23" x14ac:dyDescent="0.55000000000000004">
      <c r="E23">
        <v>12</v>
      </c>
      <c r="F23">
        <v>1</v>
      </c>
      <c r="G23" t="str">
        <v>A</v>
      </c>
      <c r="H23" t="str">
        <v>a</v>
      </c>
      <c r="I23">
        <v>10</v>
      </c>
      <c r="J23">
        <v>1</v>
      </c>
      <c r="K23">
        <v>1</v>
      </c>
      <c r="L23">
        <v>2</v>
      </c>
    </row>
    <row r="24" spans="1:23" x14ac:dyDescent="0.55000000000000004">
      <c r="E24">
        <v>12</v>
      </c>
      <c r="F24">
        <v>2</v>
      </c>
      <c r="G24" t="str">
        <v>A</v>
      </c>
      <c r="H24" t="str">
        <v>b</v>
      </c>
      <c r="I24">
        <v>1</v>
      </c>
      <c r="J24">
        <v>1</v>
      </c>
      <c r="K24">
        <v>2</v>
      </c>
      <c r="L24">
        <v>1</v>
      </c>
    </row>
    <row r="25" spans="1:23" x14ac:dyDescent="0.55000000000000004">
      <c r="E25">
        <v>12</v>
      </c>
      <c r="F25">
        <v>3</v>
      </c>
      <c r="G25" t="str">
        <v>A</v>
      </c>
      <c r="H25" t="str">
        <v>b</v>
      </c>
      <c r="I25">
        <v>10</v>
      </c>
      <c r="J25">
        <v>1</v>
      </c>
      <c r="K25">
        <v>2</v>
      </c>
      <c r="L25">
        <v>2</v>
      </c>
    </row>
    <row r="26" spans="1:23" x14ac:dyDescent="0.55000000000000004">
      <c r="E26">
        <v>12</v>
      </c>
      <c r="F26">
        <v>4</v>
      </c>
      <c r="G26" t="str">
        <v>A</v>
      </c>
      <c r="H26" t="str">
        <v>c</v>
      </c>
      <c r="I26">
        <v>1</v>
      </c>
      <c r="J26">
        <v>1</v>
      </c>
      <c r="K26">
        <v>3</v>
      </c>
      <c r="L26">
        <v>1</v>
      </c>
    </row>
    <row r="27" spans="1:23" x14ac:dyDescent="0.55000000000000004">
      <c r="E27">
        <v>12</v>
      </c>
      <c r="F27">
        <v>5</v>
      </c>
      <c r="G27" t="str">
        <v>A</v>
      </c>
      <c r="H27" t="str">
        <v>c</v>
      </c>
      <c r="I27">
        <v>10</v>
      </c>
      <c r="J27">
        <v>1</v>
      </c>
      <c r="K27">
        <v>3</v>
      </c>
      <c r="L27">
        <v>2</v>
      </c>
    </row>
    <row r="28" spans="1:23" x14ac:dyDescent="0.55000000000000004">
      <c r="E28">
        <v>12</v>
      </c>
      <c r="F28">
        <v>6</v>
      </c>
      <c r="G28" t="str">
        <v>B</v>
      </c>
      <c r="H28" t="str">
        <v>a</v>
      </c>
      <c r="I28">
        <v>1</v>
      </c>
      <c r="J28">
        <v>2</v>
      </c>
      <c r="K28">
        <v>1</v>
      </c>
      <c r="L28">
        <v>1</v>
      </c>
    </row>
    <row r="29" spans="1:23" x14ac:dyDescent="0.55000000000000004">
      <c r="E29">
        <v>12</v>
      </c>
      <c r="F29">
        <v>7</v>
      </c>
      <c r="G29" t="str">
        <v>B</v>
      </c>
      <c r="H29" t="str">
        <v>a</v>
      </c>
      <c r="I29">
        <v>10</v>
      </c>
      <c r="J29">
        <v>2</v>
      </c>
      <c r="K29">
        <v>1</v>
      </c>
      <c r="L29">
        <v>2</v>
      </c>
    </row>
    <row r="30" spans="1:23" x14ac:dyDescent="0.55000000000000004">
      <c r="E30">
        <v>12</v>
      </c>
      <c r="F30">
        <v>8</v>
      </c>
      <c r="G30" t="str">
        <v>B</v>
      </c>
      <c r="H30" t="str">
        <v>b</v>
      </c>
      <c r="I30">
        <v>1</v>
      </c>
      <c r="J30">
        <v>2</v>
      </c>
      <c r="K30">
        <v>2</v>
      </c>
      <c r="L30">
        <v>1</v>
      </c>
    </row>
    <row r="31" spans="1:23" x14ac:dyDescent="0.55000000000000004">
      <c r="E31">
        <v>12</v>
      </c>
      <c r="F31">
        <v>9</v>
      </c>
      <c r="G31" t="str">
        <v>B</v>
      </c>
      <c r="H31" t="str">
        <v>b</v>
      </c>
      <c r="I31">
        <v>10</v>
      </c>
      <c r="J31">
        <v>2</v>
      </c>
      <c r="K31">
        <v>2</v>
      </c>
      <c r="L31">
        <v>2</v>
      </c>
    </row>
    <row r="32" spans="1:23" x14ac:dyDescent="0.55000000000000004">
      <c r="E32">
        <v>12</v>
      </c>
      <c r="F32">
        <v>10</v>
      </c>
      <c r="G32" t="str">
        <v>B</v>
      </c>
      <c r="H32" t="str">
        <v>c</v>
      </c>
      <c r="I32">
        <v>1</v>
      </c>
      <c r="J32">
        <v>2</v>
      </c>
      <c r="K32">
        <v>3</v>
      </c>
      <c r="L32">
        <v>1</v>
      </c>
    </row>
    <row r="33" spans="5:12" x14ac:dyDescent="0.55000000000000004">
      <c r="E33">
        <v>12</v>
      </c>
      <c r="F33">
        <v>11</v>
      </c>
      <c r="G33" t="str">
        <v>B</v>
      </c>
      <c r="H33" t="str">
        <v>c</v>
      </c>
      <c r="I33">
        <v>10</v>
      </c>
      <c r="J33">
        <v>2</v>
      </c>
      <c r="K33">
        <v>3</v>
      </c>
      <c r="L33">
        <v>2</v>
      </c>
    </row>
  </sheetData>
  <mergeCells count="2">
    <mergeCell ref="E19:W19"/>
    <mergeCell ref="E18:W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MSClearScript Test</vt:lpstr>
      <vt:lpstr>Utility Functions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Wypasek</dc:creator>
  <cp:lastModifiedBy>Christian  Wypasek</cp:lastModifiedBy>
  <dcterms:created xsi:type="dcterms:W3CDTF">2018-11-01T15:17:05Z</dcterms:created>
  <dcterms:modified xsi:type="dcterms:W3CDTF">2026-02-25T20:07:37Z</dcterms:modified>
</cp:coreProperties>
</file>